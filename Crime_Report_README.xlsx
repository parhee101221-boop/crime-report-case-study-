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PROJECTS Data Analytics\Excel Projects\INDIAN CRIME\"/>
    </mc:Choice>
  </mc:AlternateContent>
  <xr:revisionPtr revIDLastSave="0" documentId="13_ncr:1_{8F782D86-1DAB-49E4-AF20-3B28D373FF3A}" xr6:coauthVersionLast="47" xr6:coauthVersionMax="47" xr10:uidLastSave="{00000000-0000-0000-0000-000000000000}"/>
  <bookViews>
    <workbookView xWindow="-110" yWindow="-110" windowWidth="19420" windowHeight="10300" tabRatio="500" firstSheet="3" activeTab="6" xr2:uid="{00000000-000D-0000-FFFF-FFFF00000000}"/>
  </bookViews>
  <sheets>
    <sheet name="README" sheetId="1" r:id="rId1"/>
    <sheet name="Trends &amp; Rankings" sheetId="2" r:id="rId2"/>
    <sheet name="Workbook Map" sheetId="3" r:id="rId3"/>
    <sheet name="Data Dictionary" sheetId="4" r:id="rId4"/>
    <sheet name="Q&amp;A" sheetId="5" r:id="rId5"/>
    <sheet name="Recommendations" sheetId="6" r:id="rId6"/>
    <sheet name="Data Notes" sheetId="7" r:id="rId7"/>
  </sheet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D47" i="2" l="1"/>
  <c r="C47" i="2"/>
  <c r="B47" i="2"/>
  <c r="D46" i="2"/>
  <c r="D45" i="2"/>
  <c r="D44" i="2"/>
  <c r="D43" i="2"/>
  <c r="D42" i="2"/>
  <c r="D41" i="2"/>
  <c r="D40" i="2"/>
  <c r="D39" i="2"/>
  <c r="D38" i="2"/>
  <c r="D37" i="2"/>
  <c r="D36" i="2"/>
  <c r="C32" i="2"/>
  <c r="D32" i="2" s="1"/>
  <c r="D17" i="2"/>
  <c r="B17" i="2"/>
  <c r="D23" i="2" s="1"/>
  <c r="D16" i="2"/>
  <c r="C16" i="2"/>
  <c r="D15" i="2"/>
  <c r="C15" i="2"/>
  <c r="D14" i="2"/>
  <c r="C14" i="2"/>
  <c r="D13" i="2"/>
  <c r="C13" i="2"/>
  <c r="D12" i="2"/>
  <c r="C12" i="2"/>
  <c r="D11" i="2"/>
  <c r="C11" i="2"/>
  <c r="D10" i="2"/>
  <c r="C10" i="2"/>
  <c r="D9" i="2"/>
  <c r="C9" i="2"/>
  <c r="D8" i="2"/>
  <c r="C8" i="2"/>
  <c r="D7" i="2"/>
  <c r="C7" i="2"/>
  <c r="D6" i="2"/>
  <c r="E6" i="1"/>
  <c r="D6" i="1"/>
  <c r="B6" i="1"/>
  <c r="D24" i="2" l="1"/>
  <c r="D25" i="2"/>
  <c r="D26" i="2"/>
  <c r="D27" i="2"/>
  <c r="D28" i="2"/>
  <c r="D29" i="2"/>
  <c r="D30" i="2"/>
  <c r="D31" i="2"/>
  <c r="D22" i="2"/>
</calcChain>
</file>

<file path=xl/sharedStrings.xml><?xml version="1.0" encoding="utf-8"?>
<sst xmlns="http://schemas.openxmlformats.org/spreadsheetml/2006/main" count="453" uniqueCount="342">
  <si>
    <t>README · 90,000 case records · 212,179 reported cases · 20 states · analysed in Excel with 18 PivotTables, 17 charts and a dashboard</t>
  </si>
  <si>
    <t>KEY NUMBERS</t>
  </si>
  <si>
    <t>TOTAL REPORTED CASES</t>
  </si>
  <si>
    <t>CASE RECORDS ANALYSED</t>
  </si>
  <si>
    <t>GROWTH 2015 → 2025</t>
  </si>
  <si>
    <t>2025 YoY GROWTH</t>
  </si>
  <si>
    <t>Blue = value entered from the source workbook's row count · Black/red = live formulas from the 'Trends &amp; Rankings' sheet.</t>
  </si>
  <si>
    <t>PROJECT SNAPSHOT</t>
  </si>
  <si>
    <t>Domain</t>
  </si>
  <si>
    <t>Public safety / government crime analytics</t>
  </si>
  <si>
    <t>Subject</t>
  </si>
  <si>
    <t>Reported crimes against women and children</t>
  </si>
  <si>
    <t>Coverage</t>
  </si>
  <si>
    <t>2015–2025 · 20 states · 80 districts · 80 cities</t>
  </si>
  <si>
    <t>Grain</t>
  </si>
  <si>
    <t>One row = one case record (Case_ID) carrying a Reported_Cases count (1–12 per row)</t>
  </si>
  <si>
    <t>Data quality</t>
  </si>
  <si>
    <t>17 columns · no missing values · no duplicate Case IDs</t>
  </si>
  <si>
    <t>Audience</t>
  </si>
  <si>
    <t>Central crime department, state administrations, police leadership, child-protection and social-impact organisations</t>
  </si>
  <si>
    <t>Source workbook</t>
  </si>
  <si>
    <t>Crime_Report.xlsx (19 sheets: dashboard, insights, storyline, 16 questions, 13 analysis sheets, cleaned + raw data)</t>
  </si>
  <si>
    <t>⚠ Sensitive subject matter: figures are REPORTED cases of serious harm (incl. sexual violence, trafficking, murder), not true incidence.</t>
  </si>
  <si>
    <t>BUSINESS PROBLEM</t>
  </si>
  <si>
    <t>A government crime-analysis team needs to move from raw case records to decisions: WHEN is reported crime changing, WHERE is it concentrated, WHAT crimes dominate, WHO the victims are, and WHAT share of the caseload is still open. The workbook answers this through 16 structured questions, then rolls everything into one dashboard and a narrative storyline.</t>
  </si>
  <si>
    <t>HEADLINE FINDINGS</t>
  </si>
  <si>
    <t>#</t>
  </si>
  <si>
    <t>Finding</t>
  </si>
  <si>
    <t>Evidence</t>
  </si>
  <si>
    <t>Reported cases rose every year</t>
  </si>
  <si>
    <t>14,246 (2015) → 27,190 (2025): +90.9%</t>
  </si>
  <si>
    <t>Growth is accelerating</t>
  </si>
  <si>
    <t>YoY +10.8% (2024) and +11.8% (2025) — the two steepest increases; slowest was 2019 (+0.9%)</t>
  </si>
  <si>
    <t>Uttar Pradesh is the largest contributor</t>
  </si>
  <si>
    <t>24,839 cases (11.7%); Maharashtra 19,441; West Bengal 15,889</t>
  </si>
  <si>
    <t>Women-related cases dominate</t>
  </si>
  <si>
    <t>144,116 (67.9%) vs 68,063 for children (32.1%) — women lead in all 20 states</t>
  </si>
  <si>
    <t>Sexual Harassment is the top crime category</t>
  </si>
  <si>
    <t>33,205 cases (15.6%), then Women Trafficking (26,235) and Domestic Violence (26,170)</t>
  </si>
  <si>
    <t>Female victims are the large majority</t>
  </si>
  <si>
    <t>175,230 female vs 36,949 male records (82.6% / 17.4%)</t>
  </si>
  <si>
    <t>Large active-case backlog</t>
  </si>
  <si>
    <t>35.1% Open + 29.9% Under Investigation = 65% not yet at charge-sheet stage</t>
  </si>
  <si>
    <t>Crime is geographically concentrated</t>
  </si>
  <si>
    <t>Agra, Kanpur, Varanasi and Lucknow (all Uttar Pradesh) are the top 4 cities</t>
  </si>
  <si>
    <t>Seasonality is weak</t>
  </si>
  <si>
    <t>Monthly range 17,486 (Dec) to 18,106 (Feb); quarters within ~1.2% of each other</t>
  </si>
  <si>
    <t>NAVIGATION  (click a sheet name)</t>
  </si>
  <si>
    <t>Sheet</t>
  </si>
  <si>
    <t>What's inside</t>
  </si>
  <si>
    <t>Trends &amp; Rankings</t>
  </si>
  <si>
    <t>Live yearly trend, YoY %, top-10 states, women vs children — with charts</t>
  </si>
  <si>
    <t>Workbook Map</t>
  </si>
  <si>
    <t>All 19 sheets of the source workbook and what each does</t>
  </si>
  <si>
    <t>Data Dictionary</t>
  </si>
  <si>
    <t>17 columns, engineered fields and the Crime Bucket mapping</t>
  </si>
  <si>
    <t>Q&amp;A</t>
  </si>
  <si>
    <t>All 16 business questions with answers, numbers and source sheet</t>
  </si>
  <si>
    <t>Recommendations</t>
  </si>
  <si>
    <t>Prioritised actions tied to the evidence</t>
  </si>
  <si>
    <t>Data Notes</t>
  </si>
  <si>
    <t>Caveats and inconsistencies found — read before quoting numbers</t>
  </si>
  <si>
    <t>How to use the source workbook: start at DASHBOARD → Storyline → Insights → Questions. Refresh pivots with Data → Refresh All. Extend analysis from 'Crime_Data', not 'Raw Data'.</t>
  </si>
  <si>
    <t>YEARLY TREND — REPORTED CASES</t>
  </si>
  <si>
    <t>FASTEST / SLOWEST STATE GROWTH (2015 → 2025)</t>
  </si>
  <si>
    <t>Year</t>
  </si>
  <si>
    <t>Reported cases</t>
  </si>
  <si>
    <t>YoY %</t>
  </si>
  <si>
    <t>Index vs 2015 (%)</t>
  </si>
  <si>
    <t>Group</t>
  </si>
  <si>
    <t>State</t>
  </si>
  <si>
    <t>Growth</t>
  </si>
  <si>
    <t>2015</t>
  </si>
  <si>
    <t>Fastest</t>
  </si>
  <si>
    <t>Rajasthan</t>
  </si>
  <si>
    <t>2016</t>
  </si>
  <si>
    <t>Jharkhand</t>
  </si>
  <si>
    <t>2017</t>
  </si>
  <si>
    <t>Assam</t>
  </si>
  <si>
    <t>2018</t>
  </si>
  <si>
    <t>Telangana</t>
  </si>
  <si>
    <t>2019</t>
  </si>
  <si>
    <t>Madhya Pradesh</t>
  </si>
  <si>
    <t>2020</t>
  </si>
  <si>
    <t>Slowest</t>
  </si>
  <si>
    <t>Delhi</t>
  </si>
  <si>
    <t>2021</t>
  </si>
  <si>
    <t>Maharashtra</t>
  </si>
  <si>
    <t>2022</t>
  </si>
  <si>
    <t>Bihar</t>
  </si>
  <si>
    <t>2023</t>
  </si>
  <si>
    <t>Source: recalculated from Crime_Data (state totals 2025 vs 2015); not shown on the source dashboard.</t>
  </si>
  <si>
    <t>2024</t>
  </si>
  <si>
    <t>2025</t>
  </si>
  <si>
    <t>Total</t>
  </si>
  <si>
    <t>Avg YoY:</t>
  </si>
  <si>
    <t>TOP 10 STATES BY REPORTED CASES</t>
  </si>
  <si>
    <t>Rank</t>
  </si>
  <si>
    <t>Cases</t>
  </si>
  <si>
    <t>Share of total</t>
  </si>
  <si>
    <t>Uttar Pradesh</t>
  </si>
  <si>
    <t>West Bengal</t>
  </si>
  <si>
    <t>Tamil Nadu</t>
  </si>
  <si>
    <t>Karnataka</t>
  </si>
  <si>
    <t>Gujarat</t>
  </si>
  <si>
    <t>Andhra Pradesh</t>
  </si>
  <si>
    <t>Top 10 combined</t>
  </si>
  <si>
    <t>WOMEN vs CHILDREN — CASES BY YEAR</t>
  </si>
  <si>
    <t>Women</t>
  </si>
  <si>
    <t>Children</t>
  </si>
  <si>
    <t>Women share</t>
  </si>
  <si>
    <t>Growth = 2025 vs 2015. Last cell = percentage-point gap between women and children growth.</t>
  </si>
  <si>
    <t>Layer</t>
  </si>
  <si>
    <t>Purpose</t>
  </si>
  <si>
    <t>DASHBOARD</t>
  </si>
  <si>
    <t>Narrative</t>
  </si>
  <si>
    <t>Executive one-pager: 6 KPI tiles, trend, top-10 states / crime types / cities, victim profile, case status, seasonality</t>
  </si>
  <si>
    <t>Insights</t>
  </si>
  <si>
    <t>16 numbered insights, each as insight → evidence → focus area</t>
  </si>
  <si>
    <t>Storyline</t>
  </si>
  <si>
    <t>8-step narrative arc: Context → Trend → Geography → Crime mix → Victim profile → Case status → Seasonality → Closing</t>
  </si>
  <si>
    <t>Questions</t>
  </si>
  <si>
    <t>The 16 business questions the analysis answers</t>
  </si>
  <si>
    <t>Data Overview</t>
  </si>
  <si>
    <t>Data dictionary: column meaning and analytical purpose</t>
  </si>
  <si>
    <t>Year Analysis</t>
  </si>
  <si>
    <t>Analysis</t>
  </si>
  <si>
    <t>Yearly trend by crime type, with growth since 2015</t>
  </si>
  <si>
    <t>Y-o-Y In %</t>
  </si>
  <si>
    <t>Year-over-year % change by crime</t>
  </si>
  <si>
    <t>State Analysis</t>
  </si>
  <si>
    <t>State totals and share of cases</t>
  </si>
  <si>
    <t>State Growth</t>
  </si>
  <si>
    <t>State × Year comparison</t>
  </si>
  <si>
    <t>State vs Crime Group</t>
  </si>
  <si>
    <t>Women vs Children by state</t>
  </si>
  <si>
    <t>Women vs Children</t>
  </si>
  <si>
    <t>Crime-group comparison</t>
  </si>
  <si>
    <t>Year-Wise Crime Group</t>
  </si>
  <si>
    <t>Crime-group composition over time</t>
  </si>
  <si>
    <t>Cases &amp; Gender</t>
  </si>
  <si>
    <t>Cases by crime bucket and victim gender</t>
  </si>
  <si>
    <t>Age &amp; Police status</t>
  </si>
  <si>
    <t>Victim age and police-status splits</t>
  </si>
  <si>
    <t>Month &amp; Quarter</t>
  </si>
  <si>
    <t>Seasonality (monthly and quarterly)</t>
  </si>
  <si>
    <t>City &amp; District</t>
  </si>
  <si>
    <t>Geographic hotspots</t>
  </si>
  <si>
    <t>Top 10 Crime</t>
  </si>
  <si>
    <t>Ranked crime buckets</t>
  </si>
  <si>
    <t>Crime_Data</t>
  </si>
  <si>
    <t>Data</t>
  </si>
  <si>
    <t>Cleaned, analysis-ready dataset with mapped columns (90,000 rows × 17 columns)</t>
  </si>
  <si>
    <t>Raw Data</t>
  </si>
  <si>
    <t>Source dataset retained for traceability</t>
  </si>
  <si>
    <t>Column</t>
  </si>
  <si>
    <t>Type</t>
  </si>
  <si>
    <t>Meaning</t>
  </si>
  <si>
    <t>Analytical purpose</t>
  </si>
  <si>
    <t>Case_ID</t>
  </si>
  <si>
    <t>Text</t>
  </si>
  <si>
    <t>Unique case identifier</t>
  </si>
  <si>
    <t>Track individual records</t>
  </si>
  <si>
    <t>Number</t>
  </si>
  <si>
    <t>Year reported (2015–2025)</t>
  </si>
  <si>
    <t>Yearly trends</t>
  </si>
  <si>
    <t>Month</t>
  </si>
  <si>
    <t>Month number (1–12)</t>
  </si>
  <si>
    <t>Monthly patterns</t>
  </si>
  <si>
    <t>State of report (20 states)</t>
  </si>
  <si>
    <t>State comparison</t>
  </si>
  <si>
    <t>District</t>
  </si>
  <si>
    <t>District (80)</t>
  </si>
  <si>
    <t>District hotspots</t>
  </si>
  <si>
    <t>City</t>
  </si>
  <si>
    <t>City (80, one-to-one with district)</t>
  </si>
  <si>
    <t>City hotspots</t>
  </si>
  <si>
    <t>Crime_Group</t>
  </si>
  <si>
    <t>Women / Children</t>
  </si>
  <si>
    <t>Broad crime-group analysis</t>
  </si>
  <si>
    <t>Crime_Type</t>
  </si>
  <si>
    <t>Specific crime (21 types)</t>
  </si>
  <si>
    <t>Detailed crime analysis</t>
  </si>
  <si>
    <t>Victim_Age</t>
  </si>
  <si>
    <t>Victim age in years (1–69)</t>
  </si>
  <si>
    <t>Age analysis</t>
  </si>
  <si>
    <t>Victim_Gender</t>
  </si>
  <si>
    <t>Victim gender as recorded</t>
  </si>
  <si>
    <t>Gender analysis</t>
  </si>
  <si>
    <t>Reported_Cases</t>
  </si>
  <si>
    <t>Number of cases in the record</t>
  </si>
  <si>
    <t>Volume measure (the metric everything sums)</t>
  </si>
  <si>
    <t>Police_Status</t>
  </si>
  <si>
    <t>Open / Under Investigation / Charge Sheet Filed / Disposed</t>
  </si>
  <si>
    <t>Case-progress analysis</t>
  </si>
  <si>
    <t>Month_Name</t>
  </si>
  <si>
    <t>Month label (derived)</t>
  </si>
  <si>
    <t>Readable monthly charts</t>
  </si>
  <si>
    <t>Quarter</t>
  </si>
  <si>
    <t>Q1–Q4 (derived)</t>
  </si>
  <si>
    <t>Quarterly comparison</t>
  </si>
  <si>
    <t>Victim_Age_Mapped</t>
  </si>
  <si>
    <t>Age band: Child 1–11 · Teen Age 12–18 · Adult 19–60 · Senior 61–69</t>
  </si>
  <si>
    <t>Consistent age segmentation</t>
  </si>
  <si>
    <t>Victim Mapped Gender</t>
  </si>
  <si>
    <t>Standardised gender (derived)</t>
  </si>
  <si>
    <t>Consistent gender analysis</t>
  </si>
  <si>
    <t>Crime Bucket</t>
  </si>
  <si>
    <t>13 broader categories rolled up from 21 crime types</t>
  </si>
  <si>
    <t>Simplify crime comparison</t>
  </si>
  <si>
    <t>CRIME BUCKET MAPPING  (Crime_Type → Crime Bucket)</t>
  </si>
  <si>
    <t>Crime types included</t>
  </si>
  <si>
    <t>Sexual Harassment</t>
  </si>
  <si>
    <t>Assault on Women with Intent to Outrage Modesty · Sexual Harassment · POCSO – Sexual Assault</t>
  </si>
  <si>
    <t>Rape Case</t>
  </si>
  <si>
    <t>Rape · POCSO – Rape</t>
  </si>
  <si>
    <t>Women Trafficking</t>
  </si>
  <si>
    <t>Human Trafficking · Kidnapping &amp; Abduction of Women</t>
  </si>
  <si>
    <t>Child Trafficking</t>
  </si>
  <si>
    <t>Child Trafficking · Kidnapping &amp; Abduction of Children · Missing Children</t>
  </si>
  <si>
    <t>Domestic Violence</t>
  </si>
  <si>
    <t>Domestic Violence · Cruelty by Husband/Relatives</t>
  </si>
  <si>
    <t>Women Murder Case</t>
  </si>
  <si>
    <t>Dowry Death</t>
  </si>
  <si>
    <t>Dowry</t>
  </si>
  <si>
    <t>Dowry Prohibition Act</t>
  </si>
  <si>
    <t>Stalking</t>
  </si>
  <si>
    <t>Cyber Crime(W)</t>
  </si>
  <si>
    <t>Cyber Crime Against Women</t>
  </si>
  <si>
    <t>Cyber Crime(C)</t>
  </si>
  <si>
    <t>Cyber Crime Against Children</t>
  </si>
  <si>
    <t>Child Murder Case</t>
  </si>
  <si>
    <t>Murder of Children</t>
  </si>
  <si>
    <t>Child Violence</t>
  </si>
  <si>
    <t>Cruelty to Children</t>
  </si>
  <si>
    <t>Social Crime (C)</t>
  </si>
  <si>
    <t>Child Labour · Child Marriage</t>
  </si>
  <si>
    <t>The 16 Business Questions &amp; Answers</t>
  </si>
  <si>
    <t>Business question</t>
  </si>
  <si>
    <t>Answer</t>
  </si>
  <si>
    <t>Key numbers</t>
  </si>
  <si>
    <t>Source sheet</t>
  </si>
  <si>
    <t>Yearly trend — increasing, decreasing or fluctuating?</t>
  </si>
  <si>
    <t>INCREASING with no down year. 2025 is the peak year. Growth was modest through 2022, then accelerated.</t>
  </si>
  <si>
    <t>14,246 (2015) → 27,190 (2025)</t>
  </si>
  <si>
    <t>Which states report the most cases?</t>
  </si>
  <si>
    <t>Uttar Pradesh leads, then Maharashtra and West Bengal. The top 10 states hold ~68% of all cases.</t>
  </si>
  <si>
    <t>UP 24,839 (11.7%) · MH 19,441 · WB 15,889</t>
  </si>
  <si>
    <t>Which states show the highest growth?</t>
  </si>
  <si>
    <t>Growth (2015→2025) is led by Rajasthan, Jharkhand, Assam, Telangana, Madhya Pradesh. High-volume states are NOT the fastest-growing.</t>
  </si>
  <si>
    <t>Rajasthan +125% · Jharkhand +122% · Delhi +74% (slowest of note)</t>
  </si>
  <si>
    <t>Which broad crime categories contribute most?</t>
  </si>
  <si>
    <t>Sexual Harassment is the largest bucket, followed by Women Trafficking, Domestic Violence, Child Trafficking and Rape Case.</t>
  </si>
  <si>
    <t>33,205 (15.6%) · 26,235 · 26,170 · 20,122 · 19,970</t>
  </si>
  <si>
    <t>Women vs Children — which has more cases?</t>
  </si>
  <si>
    <t>Women-related cases are ~2× children-related and exceed them in all 20 states. The women group covers 11 crime types vs 10 for children.</t>
  </si>
  <si>
    <t>Women 144,116 (67.9%) · Children 68,063 (32.1%)</t>
  </si>
  <si>
    <t>Gender distribution of victims</t>
  </si>
  <si>
    <t>Reported cases are heavily concentrated among female victims. Male victims appear mainly within the Children group.</t>
  </si>
  <si>
    <t>Female 175,230 (82.6%) · Male 36,949 (17.4%)</t>
  </si>
  <si>
    <t>Victim age profile</t>
  </si>
  <si>
    <t>Adults are the largest single age group.</t>
  </si>
  <si>
    <t>Dashboard: Adult 113,843 (53.7%) · Child 48,098 (22.7%) — see Data Notes #3</t>
  </si>
  <si>
    <t>Police status distribution</t>
  </si>
  <si>
    <t>Only ~1 in 10 cases is disposed; ~65% are still Open or Under Investigation.</t>
  </si>
  <si>
    <t>Open 74,413 (35.1%) · Under Inv. 63,501 · Charge Sheet 53,096 · Disposed 21,169</t>
  </si>
  <si>
    <t>Women-related crime is the larger group in all 20 states. Uttar Pradesh has the highest women-related count.</t>
  </si>
  <si>
    <t>UP women cases: 16,913</t>
  </si>
  <si>
    <t>Monthly pattern — highest and lowest months</t>
  </si>
  <si>
    <t>Highest February, lowest December. Total spread is only ~3.5%, so month-level seasonality is minimal.</t>
  </si>
  <si>
    <t>Feb 18,106 · Dec 17,486</t>
  </si>
  <si>
    <t>Quarterly pattern — highest quarter</t>
  </si>
  <si>
    <t>Q3 is highest, but all four quarters sit between 24.8% and 25.1% of the total.</t>
  </si>
  <si>
    <t>Q1 53,302 · Q2 52,867 · Q3 53,320 · Q4 52,690</t>
  </si>
  <si>
    <t>Which cities have the most cases?</t>
  </si>
  <si>
    <t>The top 4 cities are all in Uttar Pradesh (Agra, Kanpur, Varanasi, Lucknow), each above 6,000 cases.</t>
  </si>
  <si>
    <t>Agra 6,420 · Kanpur 6,308 · Varanasi 6,100 · Lucknow 6,011</t>
  </si>
  <si>
    <t>Which districts contribute most?</t>
  </si>
  <si>
    <t>Same ranking as cities — each city maps one-to-one to a district in this dataset.</t>
  </si>
  <si>
    <t>Agra, Kanpur, Varanasi, Lucknow, Nagpur, Pune…</t>
  </si>
  <si>
    <t>Has crime-group composition changed over time?</t>
  </si>
  <si>
    <t>Both groups rose steadily; women's share stayed close to two-thirds throughout.</t>
  </si>
  <si>
    <t>Women 9,497 → 18,440 (+94%) · Children 4,749 → 8,750 (+84%)</t>
  </si>
  <si>
    <t>Top 10 crime types</t>
  </si>
  <si>
    <t>By Crime Bucket: Sexual Harassment, Women Trafficking, Domestic Violence, Child Trafficking, Rape Case, Cyber Crime (W), Stalking, Women Murder Case, Dowry, Child Murder Case. By raw Crime_Type, Cyber Crime Against Women is #1.</t>
  </si>
  <si>
    <t>Cyber Crime Against Women 13,357 vs Assault on Women (Modesty) 13,343</t>
  </si>
  <si>
    <t>Year-over-year % change</t>
  </si>
  <si>
    <t>Largest increases: 2025 and 2024. Smallest: 2019. No year with an overall decline.</t>
  </si>
  <si>
    <t>2025 +11.8% · 2024 +10.8% · 2019 +0.9%</t>
  </si>
  <si>
    <t>Priority</t>
  </si>
  <si>
    <t>Recommendation</t>
  </si>
  <si>
    <t>Basis</t>
  </si>
  <si>
    <t>HIGH</t>
  </si>
  <si>
    <t>Investigate the 2024–2025 acceleration — separate real incidence from reporting improvements.</t>
  </si>
  <si>
    <t>+10.8% and +11.8% YoY</t>
  </si>
  <si>
    <t>Target investigation capacity at states and cities with the highest open-case loads.</t>
  </si>
  <si>
    <t>65% of cases not yet charge-sheeted; 10% disposed</t>
  </si>
  <si>
    <t>MEDIUM</t>
  </si>
  <si>
    <t>Drill down into Uttar Pradesh — the districts and crime types behind its 11.7% share.</t>
  </si>
  <si>
    <t>Top state and top 4 cities</t>
  </si>
  <si>
    <t>Study fast-growth states (Rajasthan, Jharkhand, Assam, Telangana) before they become high-volume states.</t>
  </si>
  <si>
    <t>107–125% growth 2015→2025</t>
  </si>
  <si>
    <t>MONITOR</t>
  </si>
  <si>
    <t>Track top crime types separately rather than only broad groups.</t>
  </si>
  <si>
    <t>Sexual harassment, trafficking, domestic violence lead</t>
  </si>
  <si>
    <t>Do not over-plan around seasonality; target by place and crime type instead.</t>
  </si>
  <si>
    <t>Monthly spread ≈ 3.5%</t>
  </si>
  <si>
    <t>KEY INTERPRETATION POINTS</t>
  </si>
  <si>
    <t>•  Rising numbers ≠ rising incidence: more reported cases can mean more crime, better reporting, or both.</t>
  </si>
  <si>
    <t>•  Volume and growth tell different stories: UP / MH / WB lead on volume; Rajasthan / Jharkhand / Assam lead on growth.</t>
  </si>
  <si>
    <t>•  The caseload is a pipeline problem: pressure is on investigation and court capacity, not only prevention.</t>
  </si>
  <si>
    <t>•  Timing is a weak lever: month and quarter differences are small.</t>
  </si>
  <si>
    <t>•  Category granularity matters: most women's crime types sit between ~12,900 and ~13,400 cases — broad groups hide this.</t>
  </si>
  <si>
    <t>Data Notes &amp; Caveats — Read Before Quoting Numbers</t>
  </si>
  <si>
    <t>Topic</t>
  </si>
  <si>
    <t>What to know</t>
  </si>
  <si>
    <t>Severity</t>
  </si>
  <si>
    <t>Records vs cases</t>
  </si>
  <si>
    <t>90,000 is the ROW count; 212,179 is the total of Reported_Cases. All rankings use the case total. Don't mix the two.</t>
  </si>
  <si>
    <t>Info</t>
  </si>
  <si>
    <t>Two gender fields disagree</t>
  </si>
  <si>
    <t>Dashboard uses Victim_Gender (F 175,230 / M 36,949). Victim Mapped Gender gives F 179,654 / M 32,525 because 1,688 records recorded as male are mapped to female. Conclusion (female dominant) unchanged; exact split depends on the field.</t>
  </si>
  <si>
    <t>Medium</t>
  </si>
  <si>
    <t>Age figures depend on the field</t>
  </si>
  <si>
    <t>Dashboard Adult 113,843 + Child 48,098 do not sum to 212,179 — Teen/Senior groups aren't shown. Victim_Age_Mapped gives Adult 116,710 · Child 44,109 · Teen 26,780 · Senior 24,580. Adults lead either way.</t>
  </si>
  <si>
    <t>'Top crime types' is bucket-level</t>
  </si>
  <si>
    <t>Dashboard ranks 13 Crime Buckets (Sexual Harassment #1). At raw Crime_Type level (21 types), Cyber Crime Against Women is #1. Insight #5 refers to the latter; the Top-10 table to the former.</t>
  </si>
  <si>
    <t>YoY extremes (Insight #16)</t>
  </si>
  <si>
    <t>Workbook states the largest rise was Child Murder Case 2025 (+20.7%) and largest fall Social Crime (C) 2022 (−11.3%). Recalculating by Crime Bucket gave different extremes (e.g. Child Murder Case +25.0% in 2025, −13.7% in 2019). Re-verify against the pivot's grouping before citing.</t>
  </si>
  <si>
    <t>High</t>
  </si>
  <si>
    <t>Women vs Children isn't like-for-like</t>
  </si>
  <si>
    <t>Groups have different numbers of crime types (11 vs 10) and definitions, so the gap reflects category design as well as incidence.</t>
  </si>
  <si>
    <t>Cities and districts overlap</t>
  </si>
  <si>
    <t>80 cities map one-to-one to 80 districts, so both views give the same ranking.</t>
  </si>
  <si>
    <t>Reported ≠ actual</t>
  </si>
  <si>
    <t>Data captures only reported cases. Under-reporting, reporting practice and registration rules can all move these numbers.</t>
  </si>
  <si>
    <t>Dataset provenance</t>
  </si>
  <si>
    <t>The workbook doesn't state the data source or whether it is real, anonymised or synthetic. Near-uniform spreads across crime types and months suggest treating it as a case-study dataset, not official statistics.</t>
  </si>
  <si>
    <t>Crimes Against Women &amp; Children in India — Case Study (2015–2025)</t>
  </si>
  <si>
    <t>Wording in Storyline</t>
  </si>
  <si>
    <t>Step 04 covers Crime Mix, while Step 05 covers Victim Profile (gender and age). Duplicate wording corrected.</t>
  </si>
  <si>
    <t>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</si>
</sst>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b/>
      <sz val="18"/>
      <color rgb="FFFFFFFF"/>
      <name val="Arial"/>
      <charset val="1"/>
    </font>
    <font>
      <i/>
      <sz val="10"/>
      <color rgb="FF595959"/>
      <name val="Arial"/>
      <charset val="1"/>
    </font>
    <font>
      <b/>
      <sz val="12"/>
      <color rgb="FF1F3864"/>
      <name val="Arial"/>
      <charset val="1"/>
    </font>
    <font>
      <b/>
      <sz val="9"/>
      <color rgb="FF595959"/>
      <name val="Arial"/>
      <charset val="1"/>
    </font>
    <font>
      <b/>
      <sz val="22"/>
      <color rgb="FFC00000"/>
      <name val="Arial"/>
      <charset val="1"/>
    </font>
    <font>
      <b/>
      <sz val="22"/>
      <color rgb="FF0000FF"/>
      <name val="Arial"/>
      <charset val="1"/>
    </font>
    <font>
      <i/>
      <sz val="8"/>
      <color rgb="FF7F7F7F"/>
      <name val="Arial"/>
      <charset val="1"/>
    </font>
    <font>
      <b/>
      <sz val="10"/>
      <name val="Arial"/>
      <charset val="1"/>
    </font>
    <font>
      <sz val="10"/>
      <name val="Arial"/>
      <charset val="1"/>
    </font>
    <font>
      <b/>
      <sz val="9"/>
      <color rgb="FFC00000"/>
      <name val="Arial"/>
      <charset val="1"/>
    </font>
    <font>
      <b/>
      <sz val="11"/>
      <color rgb="FFFFFFFF"/>
      <name val="Arial"/>
      <charset val="1"/>
    </font>
    <font>
      <b/>
      <u/>
      <sz val="10"/>
      <color rgb="FF0563C1"/>
      <name val="Arial"/>
      <charset val="1"/>
    </font>
    <font>
      <i/>
      <sz val="9"/>
      <color rgb="FF595959"/>
      <name val="Arial"/>
      <charset val="1"/>
    </font>
    <font>
      <sz val="10"/>
      <color rgb="FF000000"/>
      <name val="Arial"/>
      <charset val="1"/>
    </font>
    <font>
      <sz val="10"/>
      <color rgb="FF0000FF"/>
      <name val="Arial"/>
      <charset val="1"/>
    </font>
    <font>
      <b/>
      <sz val="11"/>
      <name val="Arial"/>
      <charset val="1"/>
    </font>
  </fonts>
  <fills count="11">
    <fill>
      <patternFill patternType="none"/>
    </fill>
    <fill>
      <patternFill patternType="gray125"/>
    </fill>
    <fill>
      <patternFill patternType="solid">
        <fgColor rgb="FF1F3864"/>
        <bgColor rgb="FF333333"/>
      </patternFill>
    </fill>
    <fill>
      <patternFill patternType="solid">
        <fgColor rgb="FFDCE6F1"/>
        <bgColor rgb="FFDDEBF7"/>
      </patternFill>
    </fill>
    <fill>
      <patternFill patternType="solid">
        <fgColor rgb="FFF2F2F2"/>
        <bgColor rgb="FFE2EFDA"/>
      </patternFill>
    </fill>
    <fill>
      <patternFill patternType="solid">
        <fgColor rgb="FFFCE4D6"/>
        <bgColor rgb="FFF2F2F2"/>
      </patternFill>
    </fill>
    <fill>
      <patternFill patternType="solid">
        <fgColor rgb="FFDDEBF7"/>
        <bgColor rgb="FFDCE6F1"/>
      </patternFill>
    </fill>
    <fill>
      <patternFill patternType="solid">
        <fgColor rgb="FFE2EFDA"/>
        <bgColor rgb="FFDDEBF7"/>
      </patternFill>
    </fill>
    <fill>
      <patternFill patternType="solid">
        <fgColor rgb="FFF8CBAD"/>
        <bgColor rgb="FFFFE699"/>
      </patternFill>
    </fill>
    <fill>
      <patternFill patternType="solid">
        <fgColor rgb="FFFFE699"/>
        <bgColor rgb="FFFCE4D6"/>
      </patternFill>
    </fill>
    <fill>
      <patternFill patternType="solid">
        <fgColor rgb="FFC6E0B4"/>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0">
    <xf numFmtId="0" fontId="0" fillId="0" borderId="0" xfId="0"/>
    <xf numFmtId="0" fontId="13" fillId="0" borderId="0" xfId="0" applyFont="1"/>
    <xf numFmtId="0" fontId="9" fillId="4" borderId="1" xfId="0" applyFont="1" applyFill="1" applyBorder="1" applyAlignment="1">
      <alignment horizontal="left" vertical="top" wrapText="1"/>
    </xf>
    <xf numFmtId="0" fontId="9" fillId="0" borderId="1" xfId="0" applyFont="1" applyBorder="1" applyAlignment="1">
      <alignment horizontal="left" vertical="top" wrapText="1"/>
    </xf>
    <xf numFmtId="0" fontId="11" fillId="2" borderId="1" xfId="0" applyFont="1" applyFill="1" applyBorder="1" applyAlignment="1">
      <alignment horizontal="center" vertical="center" wrapText="1"/>
    </xf>
    <xf numFmtId="0" fontId="7" fillId="0" borderId="0" xfId="0" applyFont="1"/>
    <xf numFmtId="0" fontId="4" fillId="4" borderId="1" xfId="0" applyFont="1" applyFill="1" applyBorder="1" applyAlignment="1">
      <alignment horizontal="center" vertical="center" wrapText="1"/>
    </xf>
    <xf numFmtId="3" fontId="5" fillId="4" borderId="1" xfId="0" applyNumberFormat="1" applyFont="1" applyFill="1" applyBorder="1" applyAlignment="1">
      <alignment horizontal="center" vertical="center"/>
    </xf>
    <xf numFmtId="3" fontId="6" fillId="4" borderId="1" xfId="0" applyNumberFormat="1" applyFont="1" applyFill="1" applyBorder="1" applyAlignment="1">
      <alignment horizontal="center" vertical="center"/>
    </xf>
    <xf numFmtId="164" fontId="5" fillId="4" borderId="1" xfId="0" applyNumberFormat="1" applyFont="1" applyFill="1" applyBorder="1" applyAlignment="1">
      <alignment horizontal="center" vertical="center"/>
    </xf>
    <xf numFmtId="0" fontId="0" fillId="0" borderId="1" xfId="0" applyBorder="1"/>
    <xf numFmtId="0" fontId="8" fillId="3" borderId="1" xfId="0" applyFont="1" applyFill="1" applyBorder="1" applyAlignment="1">
      <alignment vertical="top"/>
    </xf>
    <xf numFmtId="0" fontId="9" fillId="0" borderId="1" xfId="0" applyFont="1" applyBorder="1" applyAlignment="1">
      <alignment horizontal="center" vertical="top" wrapText="1"/>
    </xf>
    <xf numFmtId="0" fontId="8" fillId="0" borderId="1" xfId="0" applyFont="1" applyBorder="1" applyAlignment="1">
      <alignment horizontal="left" vertical="top" wrapText="1"/>
    </xf>
    <xf numFmtId="0" fontId="9" fillId="4" borderId="1" xfId="0" applyFont="1" applyFill="1" applyBorder="1" applyAlignment="1">
      <alignment horizontal="center" vertical="top" wrapText="1"/>
    </xf>
    <xf numFmtId="0" fontId="8" fillId="4" borderId="1" xfId="0" applyFont="1" applyFill="1" applyBorder="1" applyAlignment="1">
      <alignment horizontal="left" vertical="top" wrapText="1"/>
    </xf>
    <xf numFmtId="0" fontId="12" fillId="0" borderId="1" xfId="0" applyFont="1" applyBorder="1"/>
    <xf numFmtId="0" fontId="14" fillId="0" borderId="1" xfId="0" applyFont="1" applyBorder="1" applyAlignment="1">
      <alignment horizontal="center"/>
    </xf>
    <xf numFmtId="3" fontId="15" fillId="0" borderId="1" xfId="0" applyNumberFormat="1" applyFont="1" applyBorder="1" applyAlignment="1">
      <alignment horizontal="center"/>
    </xf>
    <xf numFmtId="164" fontId="14" fillId="0" borderId="1" xfId="0" applyNumberFormat="1" applyFont="1" applyBorder="1" applyAlignment="1">
      <alignment horizontal="center"/>
    </xf>
    <xf numFmtId="0" fontId="14" fillId="0" borderId="1" xfId="0" applyFont="1" applyBorder="1" applyAlignment="1">
      <alignment horizontal="left"/>
    </xf>
    <xf numFmtId="164" fontId="15" fillId="0" borderId="1" xfId="0" applyNumberFormat="1" applyFont="1" applyBorder="1" applyAlignment="1">
      <alignment horizontal="center"/>
    </xf>
    <xf numFmtId="0" fontId="16" fillId="3" borderId="1" xfId="0" applyFont="1" applyFill="1" applyBorder="1"/>
    <xf numFmtId="3" fontId="16" fillId="3" borderId="1" xfId="0" applyNumberFormat="1" applyFont="1" applyFill="1" applyBorder="1"/>
    <xf numFmtId="0" fontId="16" fillId="3" borderId="1" xfId="0" applyFont="1" applyFill="1" applyBorder="1" applyAlignment="1">
      <alignment horizontal="right"/>
    </xf>
    <xf numFmtId="164" fontId="16" fillId="3" borderId="1" xfId="0" applyNumberFormat="1" applyFont="1" applyFill="1" applyBorder="1"/>
    <xf numFmtId="0" fontId="16" fillId="3" borderId="1" xfId="0" applyFont="1" applyFill="1" applyBorder="1" applyAlignment="1">
      <alignment horizontal="center"/>
    </xf>
    <xf numFmtId="0" fontId="16" fillId="3" borderId="1" xfId="0" applyFont="1" applyFill="1" applyBorder="1" applyAlignment="1">
      <alignment horizontal="left"/>
    </xf>
    <xf numFmtId="3" fontId="16" fillId="3" borderId="1" xfId="0" applyNumberFormat="1" applyFont="1" applyFill="1" applyBorder="1" applyAlignment="1">
      <alignment horizontal="center"/>
    </xf>
    <xf numFmtId="164" fontId="16" fillId="3" borderId="1" xfId="0" applyNumberFormat="1" applyFont="1" applyFill="1" applyBorder="1" applyAlignment="1">
      <alignment horizontal="center"/>
    </xf>
    <xf numFmtId="0" fontId="9" fillId="5" borderId="1" xfId="0" applyFont="1" applyFill="1" applyBorder="1" applyAlignment="1">
      <alignment horizontal="center" vertical="top" wrapText="1"/>
    </xf>
    <xf numFmtId="0" fontId="9" fillId="6" borderId="1" xfId="0" applyFont="1" applyFill="1" applyBorder="1" applyAlignment="1">
      <alignment horizontal="center" vertical="top" wrapText="1"/>
    </xf>
    <xf numFmtId="0" fontId="9" fillId="7" borderId="1" xfId="0" applyFont="1" applyFill="1" applyBorder="1" applyAlignment="1">
      <alignment horizontal="center" vertical="top" wrapText="1"/>
    </xf>
    <xf numFmtId="0" fontId="8" fillId="8"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8" fillId="10" borderId="1" xfId="0" applyFont="1" applyFill="1" applyBorder="1" applyAlignment="1">
      <alignment horizontal="center" vertical="top" wrapText="1"/>
    </xf>
    <xf numFmtId="0" fontId="8" fillId="6" borderId="1" xfId="0" applyFont="1" applyFill="1" applyBorder="1" applyAlignment="1">
      <alignment horizontal="center" vertical="top" wrapText="1"/>
    </xf>
    <xf numFmtId="0" fontId="9" fillId="0" borderId="1" xfId="0" applyFont="1" applyBorder="1"/>
    <xf numFmtId="0" fontId="13" fillId="0" borderId="0" xfId="0" applyFont="1"/>
    <xf numFmtId="0" fontId="9" fillId="0" borderId="1" xfId="0" applyFont="1" applyBorder="1" applyAlignment="1">
      <alignment horizontal="left" vertical="top" wrapText="1"/>
    </xf>
    <xf numFmtId="0" fontId="3" fillId="3" borderId="0" xfId="0" applyFont="1" applyFill="1" applyAlignment="1">
      <alignment vertical="center" indent="1"/>
    </xf>
    <xf numFmtId="0" fontId="11" fillId="2" borderId="1" xfId="0" applyFont="1" applyFill="1" applyBorder="1" applyAlignment="1">
      <alignment horizontal="center" vertical="center" wrapText="1"/>
    </xf>
    <xf numFmtId="0" fontId="9" fillId="4" borderId="1" xfId="0" applyFont="1" applyFill="1" applyBorder="1" applyAlignment="1">
      <alignment horizontal="left" vertical="top" wrapText="1"/>
    </xf>
    <xf numFmtId="0" fontId="9" fillId="0" borderId="1" xfId="0" applyFont="1" applyBorder="1" applyAlignment="1">
      <alignment vertical="top" wrapText="1"/>
    </xf>
    <xf numFmtId="0" fontId="10" fillId="0" borderId="0" xfId="0" applyFont="1"/>
    <xf numFmtId="0" fontId="9" fillId="0" borderId="0" xfId="0" applyFont="1" applyAlignment="1">
      <alignment vertical="top" wrapText="1" indent="1"/>
    </xf>
    <xf numFmtId="0" fontId="1" fillId="2" borderId="0" xfId="0" applyFont="1" applyFill="1" applyAlignment="1">
      <alignment vertical="center" indent="1"/>
    </xf>
    <xf numFmtId="0" fontId="2" fillId="0" borderId="0" xfId="0" applyFont="1" applyAlignment="1">
      <alignment vertical="center" indent="1"/>
    </xf>
    <xf numFmtId="0" fontId="7" fillId="0" borderId="0" xfId="0" applyFont="1"/>
    <xf numFmtId="0" fontId="3" fillId="3"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8EA9DB"/>
      <rgbColor rgb="FF993366"/>
      <rgbColor rgb="FFF2F2F2"/>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CE6F1"/>
      <rgbColor rgb="FFE2EFDA"/>
      <rgbColor rgb="FFFFE699"/>
      <rgbColor rgb="FFC6E0B4"/>
      <rgbColor rgb="FFFCE4D6"/>
      <rgbColor rgb="FFCC99FF"/>
      <rgbColor rgb="FFF8CBAD"/>
      <rgbColor rgb="FF3366FF"/>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Reported cases per year</a:t>
            </a:r>
          </a:p>
        </c:rich>
      </c:tx>
      <c:overlay val="0"/>
      <c:spPr>
        <a:noFill/>
        <a:ln w="0">
          <a:noFill/>
        </a:ln>
      </c:spPr>
    </c:title>
    <c:autoTitleDeleted val="0"/>
    <c:plotArea>
      <c:layout/>
      <c:lineChart>
        <c:grouping val="standard"/>
        <c:varyColors val="0"/>
        <c:ser>
          <c:idx val="0"/>
          <c:order val="0"/>
          <c:tx>
            <c:strRef>
              <c:f>'Trends &amp; Rankings'!$B$5</c:f>
              <c:strCache>
                <c:ptCount val="1"/>
                <c:pt idx="0">
                  <c:v>Reported cases</c:v>
                </c:pt>
              </c:strCache>
            </c:strRef>
          </c:tx>
          <c:spPr>
            <a:ln w="28080">
              <a:solidFill>
                <a:srgbClr val="C00000"/>
              </a:solidFill>
              <a:round/>
            </a:ln>
          </c:spPr>
          <c:marker>
            <c:symbol val="circle"/>
            <c:size val="5"/>
            <c:spPr>
              <a:solidFill>
                <a:srgbClr val="C000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'Trends &amp; Rankings'!$A$6:$A$16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'Trends &amp; Rankings'!$B$6:$B$16</c:f>
              <c:numCache>
                <c:formatCode>#,##0</c:formatCode>
                <c:ptCount val="11"/>
                <c:pt idx="0">
                  <c:v>14246</c:v>
                </c:pt>
                <c:pt idx="1">
                  <c:v>15207</c:v>
                </c:pt>
                <c:pt idx="2">
                  <c:v>16325</c:v>
                </c:pt>
                <c:pt idx="3">
                  <c:v>17146</c:v>
                </c:pt>
                <c:pt idx="4">
                  <c:v>17297</c:v>
                </c:pt>
                <c:pt idx="5">
                  <c:v>18647</c:v>
                </c:pt>
                <c:pt idx="6">
                  <c:v>19414</c:v>
                </c:pt>
                <c:pt idx="7">
                  <c:v>20460</c:v>
                </c:pt>
                <c:pt idx="8">
                  <c:v>21937</c:v>
                </c:pt>
                <c:pt idx="9">
                  <c:v>24310</c:v>
                </c:pt>
                <c:pt idx="10">
                  <c:v>27190</c:v>
                </c:pt>
              </c:numCache>
            </c:numRef>
          </c:val>
          <c:smooth val="0"/>
          <c:extLst>
            <c:ext xmlns:c16="http://schemas.microsoft.com/office/drawing/2014/chart" uri="{C3380CC4-5D6E-409C-BE32-E72D297353CC}">
              <c16:uniqueId val="{00000000-FAE3-4C1F-B9A1-10F6F62915F4}"/>
            </c:ext>
          </c:extLst>
        </c:ser>
        <c:dLbls>
          <c:showLegendKey val="0"/>
          <c:showVal val="0"/>
          <c:showCatName val="0"/>
          <c:showSerName val="0"/>
          <c:showPercent val="0"/>
          <c:showBubbleSize val="0"/>
        </c:dLbls>
        <c:hiLowLines>
          <c:spPr>
            <a:ln w="0">
              <a:noFill/>
            </a:ln>
          </c:spPr>
        </c:hiLowLines>
        <c:marker val="1"/>
        <c:smooth val="0"/>
        <c:axId val="26285628"/>
        <c:axId val="70331298"/>
      </c:lineChart>
      <c:catAx>
        <c:axId val="262856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331298"/>
        <c:crosses val="autoZero"/>
        <c:auto val="1"/>
        <c:lblAlgn val="ctr"/>
        <c:lblOffset val="100"/>
        <c:noMultiLvlLbl val="0"/>
      </c:catAx>
      <c:valAx>
        <c:axId val="70331298"/>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28562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10 states — reported cases</a:t>
            </a:r>
          </a:p>
        </c:rich>
      </c:tx>
      <c:overlay val="0"/>
      <c:spPr>
        <a:noFill/>
        <a:ln w="0">
          <a:noFill/>
        </a:ln>
      </c:spPr>
    </c:title>
    <c:autoTitleDeleted val="0"/>
    <c:plotArea>
      <c:layout/>
      <c:barChart>
        <c:barDir val="bar"/>
        <c:grouping val="clustered"/>
        <c:varyColors val="0"/>
        <c:ser>
          <c:idx val="0"/>
          <c:order val="0"/>
          <c:tx>
            <c:strRef>
              <c:f>'Trends &amp; Rankings'!$C$21</c:f>
              <c:strCache>
                <c:ptCount val="1"/>
                <c:pt idx="0">
                  <c:v>Cases</c:v>
                </c:pt>
              </c:strCache>
            </c:strRef>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'Trends &amp; Rankings'!$B$22:$B$31</c:f>
              <c:strCache>
                <c:ptCount val="10"/>
                <c:pt idx="0">
                  <c:v>Uttar Pradesh</c:v>
                </c:pt>
                <c:pt idx="1">
                  <c:v>Maharashtra</c:v>
                </c:pt>
                <c:pt idx="2">
                  <c:v>West Bengal</c:v>
                </c:pt>
                <c:pt idx="3">
                  <c:v>Tamil Nadu</c:v>
                </c:pt>
                <c:pt idx="4">
                  <c:v>Rajasthan</c:v>
                </c:pt>
                <c:pt idx="5">
                  <c:v>Karnataka</c:v>
                </c:pt>
                <c:pt idx="6">
                  <c:v>Bihar</c:v>
                </c:pt>
                <c:pt idx="7">
                  <c:v>Gujarat</c:v>
                </c:pt>
                <c:pt idx="8">
                  <c:v>Madhya Pradesh</c:v>
                </c:pt>
                <c:pt idx="9">
                  <c:v>Andhra Pradesh</c:v>
                </c:pt>
              </c:strCache>
            </c:strRef>
          </c:cat>
          <c:val>
            <c:numRef>
              <c:f>'Trends &amp; Rankings'!$C$22:$C$31</c:f>
              <c:numCache>
                <c:formatCode>#,##0</c:formatCode>
                <c:ptCount val="10"/>
                <c:pt idx="0">
                  <c:v>24839</c:v>
                </c:pt>
                <c:pt idx="1">
                  <c:v>19441</c:v>
                </c:pt>
                <c:pt idx="2">
                  <c:v>15889</c:v>
                </c:pt>
                <c:pt idx="3">
                  <c:v>13835</c:v>
                </c:pt>
                <c:pt idx="4">
                  <c:v>12767</c:v>
                </c:pt>
                <c:pt idx="5">
                  <c:v>12476</c:v>
                </c:pt>
                <c:pt idx="6">
                  <c:v>12452</c:v>
                </c:pt>
                <c:pt idx="7">
                  <c:v>11425</c:v>
                </c:pt>
                <c:pt idx="8">
                  <c:v>11248</c:v>
                </c:pt>
                <c:pt idx="9">
                  <c:v>10615</c:v>
                </c:pt>
              </c:numCache>
            </c:numRef>
          </c:val>
          <c:extLst>
            <c:ext xmlns:c16="http://schemas.microsoft.com/office/drawing/2014/chart" uri="{C3380CC4-5D6E-409C-BE32-E72D297353CC}">
              <c16:uniqueId val="{00000000-461E-45DE-B11F-F3A84605F9AB}"/>
            </c:ext>
          </c:extLst>
        </c:ser>
        <c:dLbls>
          <c:showLegendKey val="0"/>
          <c:showVal val="0"/>
          <c:showCatName val="0"/>
          <c:showSerName val="0"/>
          <c:showPercent val="0"/>
          <c:showBubbleSize val="0"/>
        </c:dLbls>
        <c:gapWidth val="150"/>
        <c:axId val="58041434"/>
        <c:axId val="6196533"/>
      </c:barChart>
      <c:catAx>
        <c:axId val="58041434"/>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96533"/>
        <c:crosses val="autoZero"/>
        <c:auto val="1"/>
        <c:lblAlgn val="ctr"/>
        <c:lblOffset val="100"/>
        <c:noMultiLvlLbl val="0"/>
      </c:catAx>
      <c:valAx>
        <c:axId val="6196533"/>
        <c:scaling>
          <c:orientation val="minMax"/>
        </c:scaling>
        <c:delete val="0"/>
        <c:axPos val="t"/>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04143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Women vs Children — cases by year</a:t>
            </a:r>
          </a:p>
        </c:rich>
      </c:tx>
      <c:overlay val="0"/>
      <c:spPr>
        <a:noFill/>
        <a:ln w="0">
          <a:noFill/>
        </a:ln>
      </c:spPr>
    </c:title>
    <c:autoTitleDeleted val="0"/>
    <c:plotArea>
      <c:layout/>
      <c:barChart>
        <c:barDir val="col"/>
        <c:grouping val="stacked"/>
        <c:varyColors val="0"/>
        <c:ser>
          <c:idx val="0"/>
          <c:order val="0"/>
          <c:tx>
            <c:strRef>
              <c:f>'Trends &amp; Rankings'!$B$35</c:f>
              <c:strCache>
                <c:ptCount val="1"/>
                <c:pt idx="0">
                  <c:v>Women</c:v>
                </c:pt>
              </c:strCache>
            </c:strRef>
          </c:tx>
          <c:spPr>
            <a:solidFill>
              <a:srgbClr val="C00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'Trends &amp; Rankings'!$A$36:$A$46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'Trends &amp; Rankings'!$B$36:$B$46</c:f>
              <c:numCache>
                <c:formatCode>#,##0</c:formatCode>
                <c:ptCount val="11"/>
                <c:pt idx="0">
                  <c:v>9497</c:v>
                </c:pt>
                <c:pt idx="1">
                  <c:v>10284</c:v>
                </c:pt>
                <c:pt idx="2">
                  <c:v>11166</c:v>
                </c:pt>
                <c:pt idx="3">
                  <c:v>11477</c:v>
                </c:pt>
                <c:pt idx="4">
                  <c:v>11811</c:v>
                </c:pt>
                <c:pt idx="5">
                  <c:v>12670</c:v>
                </c:pt>
                <c:pt idx="6">
                  <c:v>13232</c:v>
                </c:pt>
                <c:pt idx="7">
                  <c:v>13984</c:v>
                </c:pt>
                <c:pt idx="8">
                  <c:v>15019</c:v>
                </c:pt>
                <c:pt idx="9">
                  <c:v>16536</c:v>
                </c:pt>
                <c:pt idx="10">
                  <c:v>18440</c:v>
                </c:pt>
              </c:numCache>
            </c:numRef>
          </c:val>
          <c:extLst>
            <c:ext xmlns:c16="http://schemas.microsoft.com/office/drawing/2014/chart" uri="{C3380CC4-5D6E-409C-BE32-E72D297353CC}">
              <c16:uniqueId val="{00000000-8C45-48E9-B767-9501B8F2021E}"/>
            </c:ext>
          </c:extLst>
        </c:ser>
        <c:ser>
          <c:idx val="1"/>
          <c:order val="1"/>
          <c:tx>
            <c:strRef>
              <c:f>'Trends &amp; Rankings'!$C$35</c:f>
              <c:strCache>
                <c:ptCount val="1"/>
                <c:pt idx="0">
                  <c:v>Children</c:v>
                </c:pt>
              </c:strCache>
            </c:strRef>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'Trends &amp; Rankings'!$A$36:$A$46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'Trends &amp; Rankings'!$C$36:$C$46</c:f>
              <c:numCache>
                <c:formatCode>#,##0</c:formatCode>
                <c:ptCount val="11"/>
                <c:pt idx="0">
                  <c:v>4749</c:v>
                </c:pt>
                <c:pt idx="1">
                  <c:v>4923</c:v>
                </c:pt>
                <c:pt idx="2">
                  <c:v>5159</c:v>
                </c:pt>
                <c:pt idx="3">
                  <c:v>5669</c:v>
                </c:pt>
                <c:pt idx="4">
                  <c:v>5486</c:v>
                </c:pt>
                <c:pt idx="5">
                  <c:v>5977</c:v>
                </c:pt>
                <c:pt idx="6">
                  <c:v>6182</c:v>
                </c:pt>
                <c:pt idx="7">
                  <c:v>6476</c:v>
                </c:pt>
                <c:pt idx="8">
                  <c:v>6918</c:v>
                </c:pt>
                <c:pt idx="9">
                  <c:v>7774</c:v>
                </c:pt>
                <c:pt idx="10">
                  <c:v>8750</c:v>
                </c:pt>
              </c:numCache>
            </c:numRef>
          </c:val>
          <c:extLst>
            <c:ext xmlns:c16="http://schemas.microsoft.com/office/drawing/2014/chart" uri="{C3380CC4-5D6E-409C-BE32-E72D297353CC}">
              <c16:uniqueId val="{00000001-8C45-48E9-B767-9501B8F2021E}"/>
            </c:ext>
          </c:extLst>
        </c:ser>
        <c:dLbls>
          <c:showLegendKey val="0"/>
          <c:showVal val="0"/>
          <c:showCatName val="0"/>
          <c:showSerName val="0"/>
          <c:showPercent val="0"/>
          <c:showBubbleSize val="0"/>
        </c:dLbls>
        <c:gapWidth val="150"/>
        <c:overlap val="100"/>
        <c:axId val="64668847"/>
        <c:axId val="36408697"/>
      </c:barChart>
      <c:catAx>
        <c:axId val="646688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408697"/>
        <c:crosses val="autoZero"/>
        <c:auto val="1"/>
        <c:lblAlgn val="ctr"/>
        <c:lblOffset val="100"/>
        <c:noMultiLvlLbl val="0"/>
      </c:catAx>
      <c:valAx>
        <c:axId val="36408697"/>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66884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15</xdr:row>
      <xdr:rowOff>0</xdr:rowOff>
    </xdr:from>
    <xdr:to>
      <xdr:col>10</xdr:col>
      <xdr:colOff>183600</xdr:colOff>
      <xdr:row>28</xdr:row>
      <xdr:rowOff>23040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30</xdr:row>
      <xdr:rowOff>0</xdr:rowOff>
    </xdr:from>
    <xdr:to>
      <xdr:col>10</xdr:col>
      <xdr:colOff>183600</xdr:colOff>
      <xdr:row>45</xdr:row>
      <xdr:rowOff>1800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48</xdr:row>
      <xdr:rowOff>0</xdr:rowOff>
    </xdr:from>
    <xdr:to>
      <xdr:col>10</xdr:col>
      <xdr:colOff>183600</xdr:colOff>
      <xdr:row>62</xdr:row>
      <xdr:rowOff>32760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Downloads/Crime_Case_Study_README.xlsx" TargetMode="External"/><Relationship Id="rId2" Type="http://schemas.openxmlformats.org/officeDocument/2006/relationships/hyperlink" Target="../../../../Downloads/Crime_Case_Study_README.xlsx" TargetMode="External"/><Relationship Id="rId1" Type="http://schemas.openxmlformats.org/officeDocument/2006/relationships/hyperlink" Target="../../../../Downloads/Crime_Case_Study_README.xlsx" TargetMode="External"/><Relationship Id="rId6" Type="http://schemas.openxmlformats.org/officeDocument/2006/relationships/hyperlink" Target="../../../../Downloads/Crime_Case_Study_README.xlsx" TargetMode="External"/><Relationship Id="rId5" Type="http://schemas.openxmlformats.org/officeDocument/2006/relationships/hyperlink" Target="../../../../Downloads/Crime_Case_Study_README.xlsx" TargetMode="External"/><Relationship Id="rId4" Type="http://schemas.openxmlformats.org/officeDocument/2006/relationships/hyperlink" Target="../../../../Downloads/Crime_Case_Study_README.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E43"/>
  <sheetViews>
    <sheetView showGridLines="0" zoomScaleNormal="100" workbookViewId="0">
      <pane ySplit="3" topLeftCell="A44" activePane="bottomLeft" state="frozen"/>
      <selection pane="bottomLeft" sqref="A1:E1"/>
    </sheetView>
  </sheetViews>
  <sheetFormatPr defaultColWidth="8.6328125" defaultRowHeight="14.5" x14ac:dyDescent="0.35"/>
  <cols>
    <col min="1" max="1" width="6" customWidth="1"/>
    <col min="2" max="5" width="34" customWidth="1"/>
  </cols>
  <sheetData>
    <row r="1" spans="1:5" ht="33.75" customHeight="1" x14ac:dyDescent="0.35">
      <c r="A1" s="46" t="s">
        <v>338</v>
      </c>
      <c r="B1" s="46"/>
      <c r="C1" s="46"/>
      <c r="D1" s="46"/>
      <c r="E1" s="46"/>
    </row>
    <row r="2" spans="1:5" ht="19.5" customHeight="1" x14ac:dyDescent="0.35">
      <c r="A2" s="47" t="s">
        <v>0</v>
      </c>
      <c r="B2" s="47"/>
      <c r="C2" s="47"/>
      <c r="D2" s="47"/>
      <c r="E2" s="47"/>
    </row>
    <row r="4" spans="1:5" ht="21.75" customHeight="1" x14ac:dyDescent="0.35">
      <c r="A4" s="40" t="s">
        <v>1</v>
      </c>
      <c r="B4" s="40"/>
      <c r="C4" s="40"/>
      <c r="D4" s="40"/>
      <c r="E4" s="40"/>
    </row>
    <row r="5" spans="1:5" ht="21.75" customHeight="1" x14ac:dyDescent="0.35">
      <c r="B5" s="6" t="s">
        <v>2</v>
      </c>
      <c r="C5" s="6" t="s">
        <v>3</v>
      </c>
      <c r="D5" s="6" t="s">
        <v>4</v>
      </c>
      <c r="E5" s="6" t="s">
        <v>5</v>
      </c>
    </row>
    <row r="6" spans="1:5" ht="43.5" customHeight="1" x14ac:dyDescent="0.35">
      <c r="B6" s="7">
        <f>'Trends &amp; Rankings'!B17</f>
        <v>212179</v>
      </c>
      <c r="C6" s="8">
        <v>90000</v>
      </c>
      <c r="D6" s="9">
        <f>'Trends &amp; Rankings'!D16</f>
        <v>0.90860592447002664</v>
      </c>
      <c r="E6" s="9">
        <f>'Trends &amp; Rankings'!C16</f>
        <v>0.11846976552858912</v>
      </c>
    </row>
    <row r="7" spans="1:5" x14ac:dyDescent="0.35">
      <c r="B7" s="48" t="s">
        <v>6</v>
      </c>
      <c r="C7" s="48"/>
      <c r="D7" s="48"/>
      <c r="E7" s="48"/>
    </row>
    <row r="9" spans="1:5" ht="21.75" customHeight="1" x14ac:dyDescent="0.35">
      <c r="A9" s="40" t="s">
        <v>7</v>
      </c>
      <c r="B9" s="40"/>
      <c r="C9" s="40"/>
      <c r="D9" s="40"/>
      <c r="E9" s="40"/>
    </row>
    <row r="10" spans="1:5" ht="18" customHeight="1" x14ac:dyDescent="0.35">
      <c r="A10" s="10"/>
      <c r="B10" s="11" t="s">
        <v>8</v>
      </c>
      <c r="C10" s="43" t="s">
        <v>9</v>
      </c>
      <c r="D10" s="43"/>
      <c r="E10" s="43"/>
    </row>
    <row r="11" spans="1:5" ht="18" customHeight="1" x14ac:dyDescent="0.35">
      <c r="A11" s="10"/>
      <c r="B11" s="11" t="s">
        <v>10</v>
      </c>
      <c r="C11" s="43" t="s">
        <v>11</v>
      </c>
      <c r="D11" s="43"/>
      <c r="E11" s="43"/>
    </row>
    <row r="12" spans="1:5" ht="18" customHeight="1" x14ac:dyDescent="0.35">
      <c r="A12" s="10"/>
      <c r="B12" s="11" t="s">
        <v>12</v>
      </c>
      <c r="C12" s="43" t="s">
        <v>13</v>
      </c>
      <c r="D12" s="43"/>
      <c r="E12" s="43"/>
    </row>
    <row r="13" spans="1:5" ht="18" customHeight="1" x14ac:dyDescent="0.35">
      <c r="A13" s="10"/>
      <c r="B13" s="11" t="s">
        <v>14</v>
      </c>
      <c r="C13" s="43" t="s">
        <v>15</v>
      </c>
      <c r="D13" s="43"/>
      <c r="E13" s="43"/>
    </row>
    <row r="14" spans="1:5" ht="18" customHeight="1" x14ac:dyDescent="0.35">
      <c r="A14" s="10"/>
      <c r="B14" s="11" t="s">
        <v>16</v>
      </c>
      <c r="C14" s="43" t="s">
        <v>17</v>
      </c>
      <c r="D14" s="43"/>
      <c r="E14" s="43"/>
    </row>
    <row r="15" spans="1:5" ht="31.5" customHeight="1" x14ac:dyDescent="0.35">
      <c r="A15" s="10"/>
      <c r="B15" s="11" t="s">
        <v>18</v>
      </c>
      <c r="C15" s="43" t="s">
        <v>19</v>
      </c>
      <c r="D15" s="43"/>
      <c r="E15" s="43"/>
    </row>
    <row r="16" spans="1:5" ht="31.5" customHeight="1" x14ac:dyDescent="0.35">
      <c r="A16" s="10"/>
      <c r="B16" s="11" t="s">
        <v>20</v>
      </c>
      <c r="C16" s="43" t="s">
        <v>21</v>
      </c>
      <c r="D16" s="43"/>
      <c r="E16" s="43"/>
    </row>
    <row r="17" spans="1:5" x14ac:dyDescent="0.35">
      <c r="B17" s="44" t="s">
        <v>22</v>
      </c>
      <c r="C17" s="44"/>
      <c r="D17" s="44"/>
      <c r="E17" s="44"/>
    </row>
    <row r="19" spans="1:5" ht="21.75" customHeight="1" x14ac:dyDescent="0.35">
      <c r="A19" s="40" t="s">
        <v>23</v>
      </c>
      <c r="B19" s="40"/>
      <c r="C19" s="40"/>
      <c r="D19" s="40"/>
      <c r="E19" s="40"/>
    </row>
    <row r="20" spans="1:5" ht="61.5" customHeight="1" x14ac:dyDescent="0.35">
      <c r="A20" s="45" t="s">
        <v>24</v>
      </c>
      <c r="B20" s="45"/>
      <c r="C20" s="45"/>
      <c r="D20" s="45"/>
      <c r="E20" s="45"/>
    </row>
    <row r="22" spans="1:5" ht="21.75" customHeight="1" x14ac:dyDescent="0.35">
      <c r="A22" s="40" t="s">
        <v>25</v>
      </c>
      <c r="B22" s="40"/>
      <c r="C22" s="40"/>
      <c r="D22" s="40"/>
      <c r="E22" s="40"/>
    </row>
    <row r="23" spans="1:5" ht="24" customHeight="1" x14ac:dyDescent="0.35">
      <c r="A23" s="4" t="s">
        <v>26</v>
      </c>
      <c r="B23" s="4" t="s">
        <v>27</v>
      </c>
      <c r="C23" s="41" t="s">
        <v>28</v>
      </c>
      <c r="D23" s="41"/>
      <c r="E23" s="41"/>
    </row>
    <row r="24" spans="1:5" ht="18" customHeight="1" x14ac:dyDescent="0.35">
      <c r="A24" s="12">
        <v>1</v>
      </c>
      <c r="B24" s="13" t="s">
        <v>29</v>
      </c>
      <c r="C24" s="39" t="s">
        <v>30</v>
      </c>
      <c r="D24" s="39"/>
      <c r="E24" s="39"/>
    </row>
    <row r="25" spans="1:5" ht="18" customHeight="1" x14ac:dyDescent="0.35">
      <c r="A25" s="14">
        <v>2</v>
      </c>
      <c r="B25" s="15" t="s">
        <v>31</v>
      </c>
      <c r="C25" s="42" t="s">
        <v>32</v>
      </c>
      <c r="D25" s="42"/>
      <c r="E25" s="42"/>
    </row>
    <row r="26" spans="1:5" ht="31.5" customHeight="1" x14ac:dyDescent="0.35">
      <c r="A26" s="12">
        <v>3</v>
      </c>
      <c r="B26" s="13" t="s">
        <v>33</v>
      </c>
      <c r="C26" s="39" t="s">
        <v>34</v>
      </c>
      <c r="D26" s="39"/>
      <c r="E26" s="39"/>
    </row>
    <row r="27" spans="1:5" ht="18" customHeight="1" x14ac:dyDescent="0.35">
      <c r="A27" s="14">
        <v>4</v>
      </c>
      <c r="B27" s="15" t="s">
        <v>35</v>
      </c>
      <c r="C27" s="42" t="s">
        <v>36</v>
      </c>
      <c r="D27" s="42"/>
      <c r="E27" s="42"/>
    </row>
    <row r="28" spans="1:5" ht="31.5" customHeight="1" x14ac:dyDescent="0.35">
      <c r="A28" s="12">
        <v>5</v>
      </c>
      <c r="B28" s="13" t="s">
        <v>37</v>
      </c>
      <c r="C28" s="39" t="s">
        <v>38</v>
      </c>
      <c r="D28" s="39"/>
      <c r="E28" s="39"/>
    </row>
    <row r="29" spans="1:5" ht="31.5" customHeight="1" x14ac:dyDescent="0.35">
      <c r="A29" s="14">
        <v>6</v>
      </c>
      <c r="B29" s="15" t="s">
        <v>39</v>
      </c>
      <c r="C29" s="42" t="s">
        <v>40</v>
      </c>
      <c r="D29" s="42"/>
      <c r="E29" s="42"/>
    </row>
    <row r="30" spans="1:5" ht="18" customHeight="1" x14ac:dyDescent="0.35">
      <c r="A30" s="12">
        <v>7</v>
      </c>
      <c r="B30" s="13" t="s">
        <v>41</v>
      </c>
      <c r="C30" s="39" t="s">
        <v>42</v>
      </c>
      <c r="D30" s="39"/>
      <c r="E30" s="39"/>
    </row>
    <row r="31" spans="1:5" ht="31.5" customHeight="1" x14ac:dyDescent="0.35">
      <c r="A31" s="14">
        <v>8</v>
      </c>
      <c r="B31" s="15" t="s">
        <v>43</v>
      </c>
      <c r="C31" s="42" t="s">
        <v>44</v>
      </c>
      <c r="D31" s="42"/>
      <c r="E31" s="42"/>
    </row>
    <row r="32" spans="1:5" ht="18" customHeight="1" x14ac:dyDescent="0.35">
      <c r="A32" s="12">
        <v>9</v>
      </c>
      <c r="B32" s="13" t="s">
        <v>45</v>
      </c>
      <c r="C32" s="39" t="s">
        <v>46</v>
      </c>
      <c r="D32" s="39"/>
      <c r="E32" s="39"/>
    </row>
    <row r="34" spans="1:5" ht="21.75" customHeight="1" x14ac:dyDescent="0.35">
      <c r="A34" s="40" t="s">
        <v>47</v>
      </c>
      <c r="B34" s="40"/>
      <c r="C34" s="40"/>
      <c r="D34" s="40"/>
      <c r="E34" s="40"/>
    </row>
    <row r="35" spans="1:5" ht="24" customHeight="1" x14ac:dyDescent="0.35">
      <c r="A35" s="4"/>
      <c r="B35" s="4" t="s">
        <v>48</v>
      </c>
      <c r="C35" s="41" t="s">
        <v>49</v>
      </c>
      <c r="D35" s="41"/>
      <c r="E35" s="41"/>
    </row>
    <row r="36" spans="1:5" x14ac:dyDescent="0.35">
      <c r="B36" s="16" t="s">
        <v>50</v>
      </c>
      <c r="C36" s="37" t="s">
        <v>51</v>
      </c>
      <c r="D36" s="37"/>
      <c r="E36" s="37"/>
    </row>
    <row r="37" spans="1:5" x14ac:dyDescent="0.35">
      <c r="B37" s="16" t="s">
        <v>52</v>
      </c>
      <c r="C37" s="37" t="s">
        <v>53</v>
      </c>
      <c r="D37" s="37"/>
      <c r="E37" s="37"/>
    </row>
    <row r="38" spans="1:5" x14ac:dyDescent="0.35">
      <c r="B38" s="16" t="s">
        <v>54</v>
      </c>
      <c r="C38" s="37" t="s">
        <v>55</v>
      </c>
      <c r="D38" s="37"/>
      <c r="E38" s="37"/>
    </row>
    <row r="39" spans="1:5" x14ac:dyDescent="0.35">
      <c r="B39" s="16" t="s">
        <v>56</v>
      </c>
      <c r="C39" s="37" t="s">
        <v>57</v>
      </c>
      <c r="D39" s="37"/>
      <c r="E39" s="37"/>
    </row>
    <row r="40" spans="1:5" x14ac:dyDescent="0.35">
      <c r="B40" s="16" t="s">
        <v>58</v>
      </c>
      <c r="C40" s="37" t="s">
        <v>59</v>
      </c>
      <c r="D40" s="37"/>
      <c r="E40" s="37"/>
    </row>
    <row r="41" spans="1:5" x14ac:dyDescent="0.35">
      <c r="B41" s="16" t="s">
        <v>60</v>
      </c>
      <c r="C41" s="37" t="s">
        <v>61</v>
      </c>
      <c r="D41" s="37"/>
      <c r="E41" s="37"/>
    </row>
    <row r="43" spans="1:5" x14ac:dyDescent="0.35">
      <c r="B43" s="38" t="s">
        <v>62</v>
      </c>
      <c r="C43" s="38"/>
      <c r="D43" s="38"/>
      <c r="E43" s="38"/>
    </row>
  </sheetData>
  <mergeCells count="35">
    <mergeCell ref="A1:E1"/>
    <mergeCell ref="A2:E2"/>
    <mergeCell ref="A4:E4"/>
    <mergeCell ref="B7:E7"/>
    <mergeCell ref="A9:E9"/>
    <mergeCell ref="C10:E10"/>
    <mergeCell ref="C11:E11"/>
    <mergeCell ref="C12:E12"/>
    <mergeCell ref="C13:E13"/>
    <mergeCell ref="C14:E14"/>
    <mergeCell ref="C15:E15"/>
    <mergeCell ref="C16:E16"/>
    <mergeCell ref="B17:E17"/>
    <mergeCell ref="A19:E19"/>
    <mergeCell ref="A20:E20"/>
    <mergeCell ref="A22:E22"/>
    <mergeCell ref="C23:E23"/>
    <mergeCell ref="C24:E24"/>
    <mergeCell ref="C25:E25"/>
    <mergeCell ref="C26:E26"/>
    <mergeCell ref="C27:E27"/>
    <mergeCell ref="C28:E28"/>
    <mergeCell ref="C29:E29"/>
    <mergeCell ref="C30:E30"/>
    <mergeCell ref="C31:E31"/>
    <mergeCell ref="C32:E32"/>
    <mergeCell ref="A34:E34"/>
    <mergeCell ref="C35:E35"/>
    <mergeCell ref="C36:E36"/>
    <mergeCell ref="C37:E37"/>
    <mergeCell ref="C38:E38"/>
    <mergeCell ref="C39:E39"/>
    <mergeCell ref="C40:E40"/>
    <mergeCell ref="C41:E41"/>
    <mergeCell ref="B43:E43"/>
  </mergeCells>
  <hyperlinks>
    <hyperlink ref="B36" r:id="rId1" location="'Trends%20&amp;%20Rankings'!A1" xr:uid="{00000000-0004-0000-0000-000000000000}"/>
    <hyperlink ref="B37" r:id="rId2" location="'Workbook%20Map'!A1" xr:uid="{00000000-0004-0000-0000-000001000000}"/>
    <hyperlink ref="B38" r:id="rId3" location="'Data%20Dictionary'!A1" xr:uid="{00000000-0004-0000-0000-000002000000}"/>
    <hyperlink ref="B39" r:id="rId4" location="'Q&amp;A'!A1" xr:uid="{00000000-0004-0000-0000-000003000000}"/>
    <hyperlink ref="B40" r:id="rId5" location="'Recommendations'!A1" xr:uid="{00000000-0004-0000-0000-000004000000}"/>
    <hyperlink ref="B41" r:id="rId6" location="'Data%20Notes'!A1" xr:uid="{00000000-0004-0000-0000-000005000000}"/>
  </hyperlink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9DB"/>
    <pageSetUpPr fitToPage="1"/>
  </sheetPr>
  <dimension ref="A1:J48"/>
  <sheetViews>
    <sheetView showGridLines="0" zoomScaleNormal="100" workbookViewId="0">
      <pane ySplit="3" topLeftCell="A9" activePane="bottomLeft" state="frozen"/>
      <selection pane="bottomLeft" activeCell="A18" sqref="A18:E18"/>
    </sheetView>
  </sheetViews>
  <sheetFormatPr defaultColWidth="8.6328125" defaultRowHeight="14.5" x14ac:dyDescent="0.35"/>
  <cols>
    <col min="1" max="2" width="16" customWidth="1"/>
    <col min="3" max="3" width="14" customWidth="1"/>
    <col min="4" max="4" width="18" customWidth="1"/>
    <col min="5" max="5" width="3" customWidth="1"/>
    <col min="6" max="7" width="16" customWidth="1"/>
    <col min="8" max="10" width="14" customWidth="1"/>
  </cols>
  <sheetData>
    <row r="1" spans="1:10" ht="33.75" customHeight="1" x14ac:dyDescent="0.35">
      <c r="A1" s="46" t="s">
        <v>50</v>
      </c>
      <c r="B1" s="46"/>
      <c r="C1" s="46"/>
      <c r="D1" s="46"/>
      <c r="E1" s="46"/>
      <c r="F1" s="46"/>
      <c r="G1" s="46"/>
      <c r="H1" s="46"/>
      <c r="I1" s="46"/>
      <c r="J1" s="46"/>
    </row>
    <row r="2" spans="1:10" ht="19.5" customHeight="1" x14ac:dyDescent="0.35">
      <c r="A2" s="47"/>
      <c r="B2" s="47"/>
      <c r="C2" s="47"/>
      <c r="D2" s="47"/>
      <c r="E2" s="47"/>
      <c r="F2" s="47"/>
      <c r="G2" s="47"/>
      <c r="H2" s="47"/>
      <c r="I2" s="47"/>
      <c r="J2" s="47"/>
    </row>
    <row r="4" spans="1:10" ht="21.75" customHeight="1" x14ac:dyDescent="0.35">
      <c r="A4" s="40" t="s">
        <v>63</v>
      </c>
      <c r="B4" s="40"/>
      <c r="C4" s="40"/>
      <c r="D4" s="40"/>
      <c r="F4" s="49" t="s">
        <v>64</v>
      </c>
      <c r="G4" s="49"/>
      <c r="H4" s="49"/>
      <c r="I4" s="49"/>
      <c r="J4" s="49"/>
    </row>
    <row r="5" spans="1:10" ht="24" customHeight="1" x14ac:dyDescent="0.35">
      <c r="A5" s="4" t="s">
        <v>65</v>
      </c>
      <c r="B5" s="4" t="s">
        <v>66</v>
      </c>
      <c r="C5" s="4" t="s">
        <v>67</v>
      </c>
      <c r="D5" s="4" t="s">
        <v>68</v>
      </c>
      <c r="F5" s="4" t="s">
        <v>69</v>
      </c>
      <c r="G5" s="4" t="s">
        <v>70</v>
      </c>
      <c r="H5" s="4" t="s">
        <v>71</v>
      </c>
    </row>
    <row r="6" spans="1:10" x14ac:dyDescent="0.35">
      <c r="A6" s="17" t="s">
        <v>72</v>
      </c>
      <c r="B6" s="18">
        <v>14246</v>
      </c>
      <c r="C6" s="19"/>
      <c r="D6" s="19">
        <f t="shared" ref="D6:D16" si="0">B6/$B$6-1</f>
        <v>0</v>
      </c>
      <c r="F6" s="17" t="s">
        <v>73</v>
      </c>
      <c r="G6" s="20" t="s">
        <v>74</v>
      </c>
      <c r="H6" s="21">
        <v>1.2515959999999999</v>
      </c>
    </row>
    <row r="7" spans="1:10" x14ac:dyDescent="0.35">
      <c r="A7" s="17" t="s">
        <v>75</v>
      </c>
      <c r="B7" s="18">
        <v>15207</v>
      </c>
      <c r="C7" s="19">
        <f t="shared" ref="C7:C16" si="1">B7/B6-1</f>
        <v>6.7457531938789783E-2</v>
      </c>
      <c r="D7" s="19">
        <f t="shared" si="0"/>
        <v>6.7457531938789783E-2</v>
      </c>
      <c r="F7" s="17" t="s">
        <v>73</v>
      </c>
      <c r="G7" s="20" t="s">
        <v>76</v>
      </c>
      <c r="H7" s="21">
        <v>1.215517</v>
      </c>
    </row>
    <row r="8" spans="1:10" x14ac:dyDescent="0.35">
      <c r="A8" s="17" t="s">
        <v>77</v>
      </c>
      <c r="B8" s="18">
        <v>16325</v>
      </c>
      <c r="C8" s="19">
        <f t="shared" si="1"/>
        <v>7.3518774248701346E-2</v>
      </c>
      <c r="D8" s="19">
        <f t="shared" si="0"/>
        <v>0.14593570124947353</v>
      </c>
      <c r="F8" s="17" t="s">
        <v>73</v>
      </c>
      <c r="G8" s="20" t="s">
        <v>78</v>
      </c>
      <c r="H8" s="21">
        <v>1.111111</v>
      </c>
    </row>
    <row r="9" spans="1:10" x14ac:dyDescent="0.35">
      <c r="A9" s="17" t="s">
        <v>79</v>
      </c>
      <c r="B9" s="18">
        <v>17146</v>
      </c>
      <c r="C9" s="19">
        <f t="shared" si="1"/>
        <v>5.0290964777947922E-2</v>
      </c>
      <c r="D9" s="19">
        <f t="shared" si="0"/>
        <v>0.20356591323880391</v>
      </c>
      <c r="F9" s="17" t="s">
        <v>73</v>
      </c>
      <c r="G9" s="20" t="s">
        <v>80</v>
      </c>
      <c r="H9" s="21">
        <v>1.108652</v>
      </c>
    </row>
    <row r="10" spans="1:10" x14ac:dyDescent="0.35">
      <c r="A10" s="17" t="s">
        <v>81</v>
      </c>
      <c r="B10" s="18">
        <v>17297</v>
      </c>
      <c r="C10" s="19">
        <f t="shared" si="1"/>
        <v>8.8067187682259185E-3</v>
      </c>
      <c r="D10" s="19">
        <f t="shared" si="0"/>
        <v>0.21416537975572081</v>
      </c>
      <c r="F10" s="17" t="s">
        <v>73</v>
      </c>
      <c r="G10" s="20" t="s">
        <v>82</v>
      </c>
      <c r="H10" s="21">
        <v>1.0692090000000001</v>
      </c>
    </row>
    <row r="11" spans="1:10" x14ac:dyDescent="0.35">
      <c r="A11" s="17" t="s">
        <v>83</v>
      </c>
      <c r="B11" s="18">
        <v>18647</v>
      </c>
      <c r="C11" s="19">
        <f t="shared" si="1"/>
        <v>7.8048216453720398E-2</v>
      </c>
      <c r="D11" s="19">
        <f t="shared" si="0"/>
        <v>0.30892882212550887</v>
      </c>
      <c r="F11" s="17" t="s">
        <v>84</v>
      </c>
      <c r="G11" s="20" t="s">
        <v>85</v>
      </c>
      <c r="H11" s="21">
        <v>0.74051599999999995</v>
      </c>
    </row>
    <row r="12" spans="1:10" x14ac:dyDescent="0.35">
      <c r="A12" s="17" t="s">
        <v>86</v>
      </c>
      <c r="B12" s="18">
        <v>19414</v>
      </c>
      <c r="C12" s="19">
        <f t="shared" si="1"/>
        <v>4.1132621869469643E-2</v>
      </c>
      <c r="D12" s="19">
        <f t="shared" si="0"/>
        <v>0.36276849642004771</v>
      </c>
      <c r="F12" s="17" t="s">
        <v>84</v>
      </c>
      <c r="G12" s="20" t="s">
        <v>87</v>
      </c>
      <c r="H12" s="21">
        <v>0.68919900000000001</v>
      </c>
    </row>
    <row r="13" spans="1:10" x14ac:dyDescent="0.35">
      <c r="A13" s="17" t="s">
        <v>88</v>
      </c>
      <c r="B13" s="18">
        <v>20460</v>
      </c>
      <c r="C13" s="19">
        <f t="shared" si="1"/>
        <v>5.3878644277325582E-2</v>
      </c>
      <c r="D13" s="19">
        <f t="shared" si="0"/>
        <v>0.4361926154710094</v>
      </c>
      <c r="F13" s="17" t="s">
        <v>84</v>
      </c>
      <c r="G13" s="20" t="s">
        <v>89</v>
      </c>
      <c r="H13" s="21">
        <v>0.68609900000000001</v>
      </c>
    </row>
    <row r="14" spans="1:10" x14ac:dyDescent="0.35">
      <c r="A14" s="17" t="s">
        <v>90</v>
      </c>
      <c r="B14" s="18">
        <v>21937</v>
      </c>
      <c r="C14" s="19">
        <f t="shared" si="1"/>
        <v>7.2189638318670646E-2</v>
      </c>
      <c r="D14" s="19">
        <f t="shared" si="0"/>
        <v>0.53987084093780702</v>
      </c>
      <c r="F14" s="5" t="s">
        <v>91</v>
      </c>
    </row>
    <row r="15" spans="1:10" x14ac:dyDescent="0.35">
      <c r="A15" s="17" t="s">
        <v>92</v>
      </c>
      <c r="B15" s="18">
        <v>24310</v>
      </c>
      <c r="C15" s="19">
        <f t="shared" si="1"/>
        <v>0.10817340566166744</v>
      </c>
      <c r="D15" s="19">
        <f t="shared" si="0"/>
        <v>0.7064439140811456</v>
      </c>
    </row>
    <row r="16" spans="1:10" x14ac:dyDescent="0.35">
      <c r="A16" s="17" t="s">
        <v>93</v>
      </c>
      <c r="B16" s="18">
        <v>27190</v>
      </c>
      <c r="C16" s="19">
        <f t="shared" si="1"/>
        <v>0.11846976552858912</v>
      </c>
      <c r="D16" s="19">
        <f t="shared" si="0"/>
        <v>0.90860592447002664</v>
      </c>
    </row>
    <row r="17" spans="1:4" x14ac:dyDescent="0.35">
      <c r="A17" s="22" t="s">
        <v>94</v>
      </c>
      <c r="B17" s="23">
        <f>SUM(B6:B16)</f>
        <v>212179</v>
      </c>
      <c r="C17" s="24" t="s">
        <v>95</v>
      </c>
      <c r="D17" s="25">
        <f>AVERAGE(C7:C16)</f>
        <v>6.7196628184310783E-2</v>
      </c>
    </row>
    <row r="18" spans="1:4" x14ac:dyDescent="0.35">
      <c r="A18" s="5"/>
    </row>
    <row r="20" spans="1:4" ht="21.75" customHeight="1" x14ac:dyDescent="0.35">
      <c r="A20" s="40" t="s">
        <v>96</v>
      </c>
      <c r="B20" s="40"/>
      <c r="C20" s="40"/>
      <c r="D20" s="40"/>
    </row>
    <row r="21" spans="1:4" ht="24" customHeight="1" x14ac:dyDescent="0.35">
      <c r="A21" s="4" t="s">
        <v>97</v>
      </c>
      <c r="B21" s="4" t="s">
        <v>70</v>
      </c>
      <c r="C21" s="4" t="s">
        <v>98</v>
      </c>
      <c r="D21" s="4" t="s">
        <v>99</v>
      </c>
    </row>
    <row r="22" spans="1:4" x14ac:dyDescent="0.35">
      <c r="A22" s="17">
        <v>1</v>
      </c>
      <c r="B22" s="20" t="s">
        <v>100</v>
      </c>
      <c r="C22" s="18">
        <v>24839</v>
      </c>
      <c r="D22" s="19">
        <f t="shared" ref="D22:D32" si="2">C22/$B$17</f>
        <v>0.1170662506657115</v>
      </c>
    </row>
    <row r="23" spans="1:4" x14ac:dyDescent="0.35">
      <c r="A23" s="17">
        <v>2</v>
      </c>
      <c r="B23" s="20" t="s">
        <v>87</v>
      </c>
      <c r="C23" s="18">
        <v>19441</v>
      </c>
      <c r="D23" s="19">
        <f t="shared" si="2"/>
        <v>9.1625467176299255E-2</v>
      </c>
    </row>
    <row r="24" spans="1:4" x14ac:dyDescent="0.35">
      <c r="A24" s="17">
        <v>3</v>
      </c>
      <c r="B24" s="20" t="s">
        <v>101</v>
      </c>
      <c r="C24" s="18">
        <v>15889</v>
      </c>
      <c r="D24" s="19">
        <f t="shared" si="2"/>
        <v>7.4884884932062079E-2</v>
      </c>
    </row>
    <row r="25" spans="1:4" x14ac:dyDescent="0.35">
      <c r="A25" s="17">
        <v>4</v>
      </c>
      <c r="B25" s="20" t="s">
        <v>102</v>
      </c>
      <c r="C25" s="18">
        <v>13835</v>
      </c>
      <c r="D25" s="19">
        <f t="shared" si="2"/>
        <v>6.5204379321233491E-2</v>
      </c>
    </row>
    <row r="26" spans="1:4" x14ac:dyDescent="0.35">
      <c r="A26" s="17">
        <v>5</v>
      </c>
      <c r="B26" s="20" t="s">
        <v>74</v>
      </c>
      <c r="C26" s="18">
        <v>12767</v>
      </c>
      <c r="D26" s="19">
        <f t="shared" si="2"/>
        <v>6.0170893443743254E-2</v>
      </c>
    </row>
    <row r="27" spans="1:4" x14ac:dyDescent="0.35">
      <c r="A27" s="17">
        <v>6</v>
      </c>
      <c r="B27" s="20" t="s">
        <v>103</v>
      </c>
      <c r="C27" s="18">
        <v>12476</v>
      </c>
      <c r="D27" s="19">
        <f t="shared" si="2"/>
        <v>5.8799409932179907E-2</v>
      </c>
    </row>
    <row r="28" spans="1:4" x14ac:dyDescent="0.35">
      <c r="A28" s="17">
        <v>7</v>
      </c>
      <c r="B28" s="20" t="s">
        <v>89</v>
      </c>
      <c r="C28" s="18">
        <v>12452</v>
      </c>
      <c r="D28" s="19">
        <f t="shared" si="2"/>
        <v>5.8686297889989116E-2</v>
      </c>
    </row>
    <row r="29" spans="1:4" x14ac:dyDescent="0.35">
      <c r="A29" s="17">
        <v>8</v>
      </c>
      <c r="B29" s="20" t="s">
        <v>104</v>
      </c>
      <c r="C29" s="18">
        <v>11425</v>
      </c>
      <c r="D29" s="19">
        <f t="shared" si="2"/>
        <v>5.3846045084574815E-2</v>
      </c>
    </row>
    <row r="30" spans="1:4" x14ac:dyDescent="0.35">
      <c r="A30" s="17">
        <v>9</v>
      </c>
      <c r="B30" s="20" t="s">
        <v>82</v>
      </c>
      <c r="C30" s="18">
        <v>11248</v>
      </c>
      <c r="D30" s="19">
        <f t="shared" si="2"/>
        <v>5.3011843773417729E-2</v>
      </c>
    </row>
    <row r="31" spans="1:4" x14ac:dyDescent="0.35">
      <c r="A31" s="17">
        <v>10</v>
      </c>
      <c r="B31" s="20" t="s">
        <v>105</v>
      </c>
      <c r="C31" s="18">
        <v>10615</v>
      </c>
      <c r="D31" s="19">
        <f t="shared" si="2"/>
        <v>5.0028513660635598E-2</v>
      </c>
    </row>
    <row r="32" spans="1:4" x14ac:dyDescent="0.35">
      <c r="A32" s="26"/>
      <c r="B32" s="27" t="s">
        <v>106</v>
      </c>
      <c r="C32" s="28">
        <f>SUM(C22:C31)</f>
        <v>144987</v>
      </c>
      <c r="D32" s="29">
        <f t="shared" si="2"/>
        <v>0.68332398587984677</v>
      </c>
    </row>
    <row r="34" spans="1:4" ht="21.75" customHeight="1" x14ac:dyDescent="0.35">
      <c r="A34" s="40" t="s">
        <v>107</v>
      </c>
      <c r="B34" s="40"/>
      <c r="C34" s="40"/>
      <c r="D34" s="40"/>
    </row>
    <row r="35" spans="1:4" ht="24" customHeight="1" x14ac:dyDescent="0.35">
      <c r="A35" s="4" t="s">
        <v>65</v>
      </c>
      <c r="B35" s="4" t="s">
        <v>108</v>
      </c>
      <c r="C35" s="4" t="s">
        <v>109</v>
      </c>
      <c r="D35" s="4" t="s">
        <v>110</v>
      </c>
    </row>
    <row r="36" spans="1:4" x14ac:dyDescent="0.35">
      <c r="A36" s="17" t="s">
        <v>72</v>
      </c>
      <c r="B36" s="18">
        <v>9497</v>
      </c>
      <c r="C36" s="18">
        <v>4749</v>
      </c>
      <c r="D36" s="19">
        <f t="shared" ref="D36:D46" si="3">B36/(B36+C36)</f>
        <v>0.66664326828583464</v>
      </c>
    </row>
    <row r="37" spans="1:4" x14ac:dyDescent="0.35">
      <c r="A37" s="17" t="s">
        <v>75</v>
      </c>
      <c r="B37" s="18">
        <v>10284</v>
      </c>
      <c r="C37" s="18">
        <v>4923</v>
      </c>
      <c r="D37" s="19">
        <f t="shared" si="3"/>
        <v>0.67626750838429672</v>
      </c>
    </row>
    <row r="38" spans="1:4" x14ac:dyDescent="0.35">
      <c r="A38" s="17" t="s">
        <v>77</v>
      </c>
      <c r="B38" s="18">
        <v>11166</v>
      </c>
      <c r="C38" s="18">
        <v>5159</v>
      </c>
      <c r="D38" s="19">
        <f t="shared" si="3"/>
        <v>0.68398162327718226</v>
      </c>
    </row>
    <row r="39" spans="1:4" x14ac:dyDescent="0.35">
      <c r="A39" s="17" t="s">
        <v>79</v>
      </c>
      <c r="B39" s="18">
        <v>11477</v>
      </c>
      <c r="C39" s="18">
        <v>5669</v>
      </c>
      <c r="D39" s="19">
        <f t="shared" si="3"/>
        <v>0.66936894902601185</v>
      </c>
    </row>
    <row r="40" spans="1:4" x14ac:dyDescent="0.35">
      <c r="A40" s="17" t="s">
        <v>81</v>
      </c>
      <c r="B40" s="18">
        <v>11811</v>
      </c>
      <c r="C40" s="18">
        <v>5486</v>
      </c>
      <c r="D40" s="19">
        <f t="shared" si="3"/>
        <v>0.68283517372954849</v>
      </c>
    </row>
    <row r="41" spans="1:4" x14ac:dyDescent="0.35">
      <c r="A41" s="17" t="s">
        <v>83</v>
      </c>
      <c r="B41" s="18">
        <v>12670</v>
      </c>
      <c r="C41" s="18">
        <v>5977</v>
      </c>
      <c r="D41" s="19">
        <f t="shared" si="3"/>
        <v>0.67946586582292057</v>
      </c>
    </row>
    <row r="42" spans="1:4" x14ac:dyDescent="0.35">
      <c r="A42" s="17" t="s">
        <v>86</v>
      </c>
      <c r="B42" s="18">
        <v>13232</v>
      </c>
      <c r="C42" s="18">
        <v>6182</v>
      </c>
      <c r="D42" s="19">
        <f t="shared" si="3"/>
        <v>0.68157000103018439</v>
      </c>
    </row>
    <row r="43" spans="1:4" x14ac:dyDescent="0.35">
      <c r="A43" s="17" t="s">
        <v>88</v>
      </c>
      <c r="B43" s="18">
        <v>13984</v>
      </c>
      <c r="C43" s="18">
        <v>6476</v>
      </c>
      <c r="D43" s="19">
        <f t="shared" si="3"/>
        <v>0.68347996089931573</v>
      </c>
    </row>
    <row r="44" spans="1:4" x14ac:dyDescent="0.35">
      <c r="A44" s="17" t="s">
        <v>90</v>
      </c>
      <c r="B44" s="18">
        <v>15019</v>
      </c>
      <c r="C44" s="18">
        <v>6918</v>
      </c>
      <c r="D44" s="19">
        <f t="shared" si="3"/>
        <v>0.68464238501162422</v>
      </c>
    </row>
    <row r="45" spans="1:4" x14ac:dyDescent="0.35">
      <c r="A45" s="17" t="s">
        <v>92</v>
      </c>
      <c r="B45" s="18">
        <v>16536</v>
      </c>
      <c r="C45" s="18">
        <v>7774</v>
      </c>
      <c r="D45" s="19">
        <f t="shared" si="3"/>
        <v>0.68021390374331547</v>
      </c>
    </row>
    <row r="46" spans="1:4" x14ac:dyDescent="0.35">
      <c r="A46" s="17" t="s">
        <v>93</v>
      </c>
      <c r="B46" s="18">
        <v>18440</v>
      </c>
      <c r="C46" s="18">
        <v>8750</v>
      </c>
      <c r="D46" s="19">
        <f t="shared" si="3"/>
        <v>0.67819051121735929</v>
      </c>
    </row>
    <row r="47" spans="1:4" x14ac:dyDescent="0.35">
      <c r="A47" s="26" t="s">
        <v>71</v>
      </c>
      <c r="B47" s="29">
        <f>B46/B36-1</f>
        <v>0.9416657891965885</v>
      </c>
      <c r="C47" s="29">
        <f>C46/C36-1</f>
        <v>0.84249315645399037</v>
      </c>
      <c r="D47" s="29">
        <f>B47-C47</f>
        <v>9.9172632742598132E-2</v>
      </c>
    </row>
    <row r="48" spans="1:4" x14ac:dyDescent="0.35">
      <c r="A48" s="5" t="s">
        <v>111</v>
      </c>
    </row>
  </sheetData>
  <mergeCells count="6">
    <mergeCell ref="A34:D34"/>
    <mergeCell ref="A1:J1"/>
    <mergeCell ref="A2:J2"/>
    <mergeCell ref="A4:D4"/>
    <mergeCell ref="F4:J4"/>
    <mergeCell ref="A20:D20"/>
  </mergeCells>
  <pageMargins left="0.75" right="0.75" top="1" bottom="1"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A9DB"/>
    <pageSetUpPr fitToPage="1"/>
  </sheetPr>
  <dimension ref="A1:D25"/>
  <sheetViews>
    <sheetView showGridLines="0" zoomScaleNormal="100" workbookViewId="0">
      <pane ySplit="4" topLeftCell="A5" activePane="bottomLeft" state="frozen"/>
      <selection pane="bottomLeft" activeCell="B25" sqref="B25:D25"/>
    </sheetView>
  </sheetViews>
  <sheetFormatPr defaultColWidth="8.6328125" defaultRowHeight="14.5" x14ac:dyDescent="0.35"/>
  <cols>
    <col min="1" max="1" width="6" customWidth="1"/>
    <col min="2" max="2" width="26" customWidth="1"/>
    <col min="3" max="3" width="16" customWidth="1"/>
    <col min="4" max="4" width="70" customWidth="1"/>
  </cols>
  <sheetData>
    <row r="1" spans="1:4" ht="33.75" customHeight="1" x14ac:dyDescent="0.35">
      <c r="A1" s="46" t="s">
        <v>52</v>
      </c>
      <c r="B1" s="46"/>
      <c r="C1" s="46"/>
      <c r="D1" s="46"/>
    </row>
    <row r="2" spans="1:4" ht="19.5" customHeight="1" x14ac:dyDescent="0.35">
      <c r="A2" s="47"/>
      <c r="B2" s="47"/>
      <c r="C2" s="47"/>
      <c r="D2" s="47"/>
    </row>
    <row r="4" spans="1:4" ht="24" customHeight="1" x14ac:dyDescent="0.35">
      <c r="A4" s="4" t="s">
        <v>26</v>
      </c>
      <c r="B4" s="4" t="s">
        <v>48</v>
      </c>
      <c r="C4" s="4" t="s">
        <v>112</v>
      </c>
      <c r="D4" s="4" t="s">
        <v>113</v>
      </c>
    </row>
    <row r="5" spans="1:4" ht="31.5" customHeight="1" x14ac:dyDescent="0.35">
      <c r="A5" s="12">
        <v>1</v>
      </c>
      <c r="B5" s="13" t="s">
        <v>114</v>
      </c>
      <c r="C5" s="30" t="s">
        <v>115</v>
      </c>
      <c r="D5" s="3" t="s">
        <v>116</v>
      </c>
    </row>
    <row r="6" spans="1:4" ht="18" customHeight="1" x14ac:dyDescent="0.35">
      <c r="A6" s="14">
        <v>2</v>
      </c>
      <c r="B6" s="15" t="s">
        <v>117</v>
      </c>
      <c r="C6" s="30" t="s">
        <v>115</v>
      </c>
      <c r="D6" s="2" t="s">
        <v>118</v>
      </c>
    </row>
    <row r="7" spans="1:4" ht="31.5" customHeight="1" x14ac:dyDescent="0.35">
      <c r="A7" s="12">
        <v>3</v>
      </c>
      <c r="B7" s="13" t="s">
        <v>119</v>
      </c>
      <c r="C7" s="30" t="s">
        <v>115</v>
      </c>
      <c r="D7" s="3" t="s">
        <v>120</v>
      </c>
    </row>
    <row r="8" spans="1:4" ht="18" customHeight="1" x14ac:dyDescent="0.35">
      <c r="A8" s="14">
        <v>4</v>
      </c>
      <c r="B8" s="15" t="s">
        <v>121</v>
      </c>
      <c r="C8" s="30" t="s">
        <v>115</v>
      </c>
      <c r="D8" s="2" t="s">
        <v>122</v>
      </c>
    </row>
    <row r="9" spans="1:4" ht="18" customHeight="1" x14ac:dyDescent="0.35">
      <c r="A9" s="12">
        <v>5</v>
      </c>
      <c r="B9" s="13" t="s">
        <v>123</v>
      </c>
      <c r="C9" s="30" t="s">
        <v>115</v>
      </c>
      <c r="D9" s="3" t="s">
        <v>124</v>
      </c>
    </row>
    <row r="10" spans="1:4" ht="18" customHeight="1" x14ac:dyDescent="0.35">
      <c r="A10" s="14">
        <v>6</v>
      </c>
      <c r="B10" s="15" t="s">
        <v>125</v>
      </c>
      <c r="C10" s="31" t="s">
        <v>126</v>
      </c>
      <c r="D10" s="2" t="s">
        <v>127</v>
      </c>
    </row>
    <row r="11" spans="1:4" ht="18" customHeight="1" x14ac:dyDescent="0.35">
      <c r="A11" s="12">
        <v>7</v>
      </c>
      <c r="B11" s="13" t="s">
        <v>128</v>
      </c>
      <c r="C11" s="31" t="s">
        <v>126</v>
      </c>
      <c r="D11" s="3" t="s">
        <v>129</v>
      </c>
    </row>
    <row r="12" spans="1:4" ht="18" customHeight="1" x14ac:dyDescent="0.35">
      <c r="A12" s="14">
        <v>8</v>
      </c>
      <c r="B12" s="15" t="s">
        <v>130</v>
      </c>
      <c r="C12" s="31" t="s">
        <v>126</v>
      </c>
      <c r="D12" s="2" t="s">
        <v>131</v>
      </c>
    </row>
    <row r="13" spans="1:4" ht="18" customHeight="1" x14ac:dyDescent="0.35">
      <c r="A13" s="12">
        <v>9</v>
      </c>
      <c r="B13" s="13" t="s">
        <v>132</v>
      </c>
      <c r="C13" s="31" t="s">
        <v>126</v>
      </c>
      <c r="D13" s="3" t="s">
        <v>133</v>
      </c>
    </row>
    <row r="14" spans="1:4" ht="18" customHeight="1" x14ac:dyDescent="0.35">
      <c r="A14" s="14">
        <v>10</v>
      </c>
      <c r="B14" s="15" t="s">
        <v>134</v>
      </c>
      <c r="C14" s="31" t="s">
        <v>126</v>
      </c>
      <c r="D14" s="2" t="s">
        <v>135</v>
      </c>
    </row>
    <row r="15" spans="1:4" ht="18" customHeight="1" x14ac:dyDescent="0.35">
      <c r="A15" s="12">
        <v>11</v>
      </c>
      <c r="B15" s="13" t="s">
        <v>136</v>
      </c>
      <c r="C15" s="31" t="s">
        <v>126</v>
      </c>
      <c r="D15" s="3" t="s">
        <v>137</v>
      </c>
    </row>
    <row r="16" spans="1:4" ht="18" customHeight="1" x14ac:dyDescent="0.35">
      <c r="A16" s="14">
        <v>12</v>
      </c>
      <c r="B16" s="15" t="s">
        <v>138</v>
      </c>
      <c r="C16" s="31" t="s">
        <v>126</v>
      </c>
      <c r="D16" s="2" t="s">
        <v>139</v>
      </c>
    </row>
    <row r="17" spans="1:4" ht="18" customHeight="1" x14ac:dyDescent="0.35">
      <c r="A17" s="12">
        <v>13</v>
      </c>
      <c r="B17" s="13" t="s">
        <v>140</v>
      </c>
      <c r="C17" s="31" t="s">
        <v>126</v>
      </c>
      <c r="D17" s="3" t="s">
        <v>141</v>
      </c>
    </row>
    <row r="18" spans="1:4" ht="18" customHeight="1" x14ac:dyDescent="0.35">
      <c r="A18" s="14">
        <v>14</v>
      </c>
      <c r="B18" s="15" t="s">
        <v>142</v>
      </c>
      <c r="C18" s="31" t="s">
        <v>126</v>
      </c>
      <c r="D18" s="2" t="s">
        <v>143</v>
      </c>
    </row>
    <row r="19" spans="1:4" ht="18" customHeight="1" x14ac:dyDescent="0.35">
      <c r="A19" s="12">
        <v>15</v>
      </c>
      <c r="B19" s="13" t="s">
        <v>144</v>
      </c>
      <c r="C19" s="31" t="s">
        <v>126</v>
      </c>
      <c r="D19" s="3" t="s">
        <v>145</v>
      </c>
    </row>
    <row r="20" spans="1:4" ht="18" customHeight="1" x14ac:dyDescent="0.35">
      <c r="A20" s="14">
        <v>16</v>
      </c>
      <c r="B20" s="15" t="s">
        <v>146</v>
      </c>
      <c r="C20" s="31" t="s">
        <v>126</v>
      </c>
      <c r="D20" s="2" t="s">
        <v>147</v>
      </c>
    </row>
    <row r="21" spans="1:4" ht="18" customHeight="1" x14ac:dyDescent="0.35">
      <c r="A21" s="12">
        <v>17</v>
      </c>
      <c r="B21" s="13" t="s">
        <v>148</v>
      </c>
      <c r="C21" s="31" t="s">
        <v>126</v>
      </c>
      <c r="D21" s="3" t="s">
        <v>149</v>
      </c>
    </row>
    <row r="22" spans="1:4" ht="31.5" customHeight="1" x14ac:dyDescent="0.35">
      <c r="A22" s="14">
        <v>18</v>
      </c>
      <c r="B22" s="15" t="s">
        <v>150</v>
      </c>
      <c r="C22" s="32" t="s">
        <v>151</v>
      </c>
      <c r="D22" s="2" t="s">
        <v>152</v>
      </c>
    </row>
    <row r="23" spans="1:4" ht="18" customHeight="1" x14ac:dyDescent="0.35">
      <c r="A23" s="12">
        <v>19</v>
      </c>
      <c r="B23" s="13" t="s">
        <v>153</v>
      </c>
      <c r="C23" s="32" t="s">
        <v>151</v>
      </c>
      <c r="D23" s="3" t="s">
        <v>154</v>
      </c>
    </row>
    <row r="25" spans="1:4" x14ac:dyDescent="0.35">
      <c r="B25" s="1"/>
    </row>
  </sheetData>
  <mergeCells count="2">
    <mergeCell ref="A1:D1"/>
    <mergeCell ref="A2:D2"/>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A9DB"/>
    <pageSetUpPr fitToPage="1"/>
  </sheetPr>
  <dimension ref="A1:E37"/>
  <sheetViews>
    <sheetView showGridLines="0" zoomScaleNormal="100" workbookViewId="0">
      <pane ySplit="4" topLeftCell="A5" activePane="bottomLeft" state="frozen"/>
      <selection pane="bottomLeft" activeCell="A2" sqref="A2:E2"/>
    </sheetView>
  </sheetViews>
  <sheetFormatPr defaultColWidth="8.6328125" defaultRowHeight="14.5" x14ac:dyDescent="0.35"/>
  <cols>
    <col min="1" max="1" width="5" customWidth="1"/>
    <col min="2" max="2" width="22" customWidth="1"/>
    <col min="3" max="3" width="16" customWidth="1"/>
    <col min="4" max="4" width="46" customWidth="1"/>
    <col min="5" max="5" width="42" customWidth="1"/>
  </cols>
  <sheetData>
    <row r="1" spans="1:5" ht="33.75" customHeight="1" x14ac:dyDescent="0.35">
      <c r="A1" s="46" t="s">
        <v>54</v>
      </c>
      <c r="B1" s="46"/>
      <c r="C1" s="46"/>
      <c r="D1" s="46"/>
      <c r="E1" s="46"/>
    </row>
    <row r="2" spans="1:5" ht="19.5" customHeight="1" x14ac:dyDescent="0.35">
      <c r="A2" s="47"/>
      <c r="B2" s="47"/>
      <c r="C2" s="47"/>
      <c r="D2" s="47"/>
      <c r="E2" s="47"/>
    </row>
    <row r="4" spans="1:5" ht="24" customHeight="1" x14ac:dyDescent="0.35">
      <c r="A4" s="4" t="s">
        <v>26</v>
      </c>
      <c r="B4" s="4" t="s">
        <v>155</v>
      </c>
      <c r="C4" s="4" t="s">
        <v>156</v>
      </c>
      <c r="D4" s="4" t="s">
        <v>157</v>
      </c>
      <c r="E4" s="4" t="s">
        <v>158</v>
      </c>
    </row>
    <row r="5" spans="1:5" ht="18" customHeight="1" x14ac:dyDescent="0.35">
      <c r="A5" s="12">
        <v>1</v>
      </c>
      <c r="B5" s="13" t="s">
        <v>159</v>
      </c>
      <c r="C5" s="12" t="s">
        <v>160</v>
      </c>
      <c r="D5" s="3" t="s">
        <v>161</v>
      </c>
      <c r="E5" s="3" t="s">
        <v>162</v>
      </c>
    </row>
    <row r="6" spans="1:5" ht="18" customHeight="1" x14ac:dyDescent="0.35">
      <c r="A6" s="14">
        <v>2</v>
      </c>
      <c r="B6" s="15" t="s">
        <v>65</v>
      </c>
      <c r="C6" s="14" t="s">
        <v>163</v>
      </c>
      <c r="D6" s="2" t="s">
        <v>164</v>
      </c>
      <c r="E6" s="2" t="s">
        <v>165</v>
      </c>
    </row>
    <row r="7" spans="1:5" ht="18" customHeight="1" x14ac:dyDescent="0.35">
      <c r="A7" s="12">
        <v>3</v>
      </c>
      <c r="B7" s="13" t="s">
        <v>166</v>
      </c>
      <c r="C7" s="12" t="s">
        <v>163</v>
      </c>
      <c r="D7" s="3" t="s">
        <v>167</v>
      </c>
      <c r="E7" s="3" t="s">
        <v>168</v>
      </c>
    </row>
    <row r="8" spans="1:5" ht="18" customHeight="1" x14ac:dyDescent="0.35">
      <c r="A8" s="14">
        <v>4</v>
      </c>
      <c r="B8" s="15" t="s">
        <v>70</v>
      </c>
      <c r="C8" s="14" t="s">
        <v>160</v>
      </c>
      <c r="D8" s="2" t="s">
        <v>169</v>
      </c>
      <c r="E8" s="2" t="s">
        <v>170</v>
      </c>
    </row>
    <row r="9" spans="1:5" ht="18" customHeight="1" x14ac:dyDescent="0.35">
      <c r="A9" s="12">
        <v>5</v>
      </c>
      <c r="B9" s="13" t="s">
        <v>171</v>
      </c>
      <c r="C9" s="12" t="s">
        <v>160</v>
      </c>
      <c r="D9" s="3" t="s">
        <v>172</v>
      </c>
      <c r="E9" s="3" t="s">
        <v>173</v>
      </c>
    </row>
    <row r="10" spans="1:5" ht="18" customHeight="1" x14ac:dyDescent="0.35">
      <c r="A10" s="14">
        <v>6</v>
      </c>
      <c r="B10" s="15" t="s">
        <v>174</v>
      </c>
      <c r="C10" s="14" t="s">
        <v>160</v>
      </c>
      <c r="D10" s="2" t="s">
        <v>175</v>
      </c>
      <c r="E10" s="2" t="s">
        <v>176</v>
      </c>
    </row>
    <row r="11" spans="1:5" ht="18" customHeight="1" x14ac:dyDescent="0.35">
      <c r="A11" s="12">
        <v>7</v>
      </c>
      <c r="B11" s="13" t="s">
        <v>177</v>
      </c>
      <c r="C11" s="12" t="s">
        <v>160</v>
      </c>
      <c r="D11" s="3" t="s">
        <v>178</v>
      </c>
      <c r="E11" s="3" t="s">
        <v>179</v>
      </c>
    </row>
    <row r="12" spans="1:5" ht="18" customHeight="1" x14ac:dyDescent="0.35">
      <c r="A12" s="14">
        <v>8</v>
      </c>
      <c r="B12" s="15" t="s">
        <v>180</v>
      </c>
      <c r="C12" s="14" t="s">
        <v>160</v>
      </c>
      <c r="D12" s="2" t="s">
        <v>181</v>
      </c>
      <c r="E12" s="2" t="s">
        <v>182</v>
      </c>
    </row>
    <row r="13" spans="1:5" ht="18" customHeight="1" x14ac:dyDescent="0.35">
      <c r="A13" s="12">
        <v>9</v>
      </c>
      <c r="B13" s="13" t="s">
        <v>183</v>
      </c>
      <c r="C13" s="12" t="s">
        <v>163</v>
      </c>
      <c r="D13" s="3" t="s">
        <v>184</v>
      </c>
      <c r="E13" s="3" t="s">
        <v>185</v>
      </c>
    </row>
    <row r="14" spans="1:5" ht="18" customHeight="1" x14ac:dyDescent="0.35">
      <c r="A14" s="14">
        <v>10</v>
      </c>
      <c r="B14" s="15" t="s">
        <v>186</v>
      </c>
      <c r="C14" s="14" t="s">
        <v>160</v>
      </c>
      <c r="D14" s="2" t="s">
        <v>187</v>
      </c>
      <c r="E14" s="2" t="s">
        <v>188</v>
      </c>
    </row>
    <row r="15" spans="1:5" ht="18" customHeight="1" x14ac:dyDescent="0.35">
      <c r="A15" s="12">
        <v>11</v>
      </c>
      <c r="B15" s="13" t="s">
        <v>189</v>
      </c>
      <c r="C15" s="12" t="s">
        <v>163</v>
      </c>
      <c r="D15" s="3" t="s">
        <v>190</v>
      </c>
      <c r="E15" s="3" t="s">
        <v>191</v>
      </c>
    </row>
    <row r="16" spans="1:5" ht="31.5" customHeight="1" x14ac:dyDescent="0.35">
      <c r="A16" s="14">
        <v>12</v>
      </c>
      <c r="B16" s="15" t="s">
        <v>192</v>
      </c>
      <c r="C16" s="14" t="s">
        <v>160</v>
      </c>
      <c r="D16" s="2" t="s">
        <v>193</v>
      </c>
      <c r="E16" s="2" t="s">
        <v>194</v>
      </c>
    </row>
    <row r="17" spans="1:5" ht="18" customHeight="1" x14ac:dyDescent="0.35">
      <c r="A17" s="12">
        <v>13</v>
      </c>
      <c r="B17" s="13" t="s">
        <v>195</v>
      </c>
      <c r="C17" s="12" t="s">
        <v>160</v>
      </c>
      <c r="D17" s="3" t="s">
        <v>196</v>
      </c>
      <c r="E17" s="3" t="s">
        <v>197</v>
      </c>
    </row>
    <row r="18" spans="1:5" ht="18" customHeight="1" x14ac:dyDescent="0.35">
      <c r="A18" s="14">
        <v>14</v>
      </c>
      <c r="B18" s="15" t="s">
        <v>198</v>
      </c>
      <c r="C18" s="14" t="s">
        <v>160</v>
      </c>
      <c r="D18" s="2" t="s">
        <v>199</v>
      </c>
      <c r="E18" s="2" t="s">
        <v>200</v>
      </c>
    </row>
    <row r="19" spans="1:5" ht="31.5" customHeight="1" x14ac:dyDescent="0.35">
      <c r="A19" s="12">
        <v>15</v>
      </c>
      <c r="B19" s="13" t="s">
        <v>201</v>
      </c>
      <c r="C19" s="12" t="s">
        <v>160</v>
      </c>
      <c r="D19" s="3" t="s">
        <v>202</v>
      </c>
      <c r="E19" s="3" t="s">
        <v>203</v>
      </c>
    </row>
    <row r="20" spans="1:5" ht="18" customHeight="1" x14ac:dyDescent="0.35">
      <c r="A20" s="14">
        <v>16</v>
      </c>
      <c r="B20" s="15" t="s">
        <v>204</v>
      </c>
      <c r="C20" s="14" t="s">
        <v>160</v>
      </c>
      <c r="D20" s="2" t="s">
        <v>205</v>
      </c>
      <c r="E20" s="2" t="s">
        <v>206</v>
      </c>
    </row>
    <row r="21" spans="1:5" ht="31.5" customHeight="1" x14ac:dyDescent="0.35">
      <c r="A21" s="12">
        <v>17</v>
      </c>
      <c r="B21" s="13" t="s">
        <v>207</v>
      </c>
      <c r="C21" s="12" t="s">
        <v>160</v>
      </c>
      <c r="D21" s="3" t="s">
        <v>208</v>
      </c>
      <c r="E21" s="3" t="s">
        <v>209</v>
      </c>
    </row>
    <row r="23" spans="1:5" ht="21.75" customHeight="1" x14ac:dyDescent="0.35">
      <c r="A23" s="40" t="s">
        <v>210</v>
      </c>
      <c r="B23" s="40"/>
      <c r="C23" s="40"/>
      <c r="D23" s="40"/>
      <c r="E23" s="40"/>
    </row>
    <row r="24" spans="1:5" ht="24" customHeight="1" x14ac:dyDescent="0.35">
      <c r="A24" s="4" t="s">
        <v>26</v>
      </c>
      <c r="B24" s="4" t="s">
        <v>207</v>
      </c>
      <c r="C24" s="4" t="s">
        <v>69</v>
      </c>
      <c r="D24" s="41" t="s">
        <v>211</v>
      </c>
      <c r="E24" s="41"/>
    </row>
    <row r="25" spans="1:5" ht="31.5" customHeight="1" x14ac:dyDescent="0.35">
      <c r="A25" s="12">
        <v>1</v>
      </c>
      <c r="B25" s="13" t="s">
        <v>212</v>
      </c>
      <c r="C25" s="3" t="s">
        <v>178</v>
      </c>
      <c r="D25" s="39" t="s">
        <v>213</v>
      </c>
      <c r="E25" s="39"/>
    </row>
    <row r="26" spans="1:5" ht="18" customHeight="1" x14ac:dyDescent="0.35">
      <c r="A26" s="14">
        <v>2</v>
      </c>
      <c r="B26" s="15" t="s">
        <v>214</v>
      </c>
      <c r="C26" s="2" t="s">
        <v>178</v>
      </c>
      <c r="D26" s="42" t="s">
        <v>215</v>
      </c>
      <c r="E26" s="42"/>
    </row>
    <row r="27" spans="1:5" ht="18" customHeight="1" x14ac:dyDescent="0.35">
      <c r="A27" s="12">
        <v>3</v>
      </c>
      <c r="B27" s="13" t="s">
        <v>216</v>
      </c>
      <c r="C27" s="3" t="s">
        <v>108</v>
      </c>
      <c r="D27" s="39" t="s">
        <v>217</v>
      </c>
      <c r="E27" s="39"/>
    </row>
    <row r="28" spans="1:5" ht="18" customHeight="1" x14ac:dyDescent="0.35">
      <c r="A28" s="14">
        <v>4</v>
      </c>
      <c r="B28" s="15" t="s">
        <v>218</v>
      </c>
      <c r="C28" s="2" t="s">
        <v>109</v>
      </c>
      <c r="D28" s="42" t="s">
        <v>219</v>
      </c>
      <c r="E28" s="42"/>
    </row>
    <row r="29" spans="1:5" ht="18" customHeight="1" x14ac:dyDescent="0.35">
      <c r="A29" s="12">
        <v>5</v>
      </c>
      <c r="B29" s="13" t="s">
        <v>220</v>
      </c>
      <c r="C29" s="3" t="s">
        <v>108</v>
      </c>
      <c r="D29" s="39" t="s">
        <v>221</v>
      </c>
      <c r="E29" s="39"/>
    </row>
    <row r="30" spans="1:5" ht="18" customHeight="1" x14ac:dyDescent="0.35">
      <c r="A30" s="14">
        <v>6</v>
      </c>
      <c r="B30" s="15" t="s">
        <v>222</v>
      </c>
      <c r="C30" s="2" t="s">
        <v>108</v>
      </c>
      <c r="D30" s="42" t="s">
        <v>223</v>
      </c>
      <c r="E30" s="42"/>
    </row>
    <row r="31" spans="1:5" ht="18" customHeight="1" x14ac:dyDescent="0.35">
      <c r="A31" s="12">
        <v>7</v>
      </c>
      <c r="B31" s="13" t="s">
        <v>224</v>
      </c>
      <c r="C31" s="3" t="s">
        <v>108</v>
      </c>
      <c r="D31" s="39" t="s">
        <v>225</v>
      </c>
      <c r="E31" s="39"/>
    </row>
    <row r="32" spans="1:5" ht="18" customHeight="1" x14ac:dyDescent="0.35">
      <c r="A32" s="14">
        <v>8</v>
      </c>
      <c r="B32" s="15" t="s">
        <v>226</v>
      </c>
      <c r="C32" s="2" t="s">
        <v>108</v>
      </c>
      <c r="D32" s="42" t="s">
        <v>226</v>
      </c>
      <c r="E32" s="42"/>
    </row>
    <row r="33" spans="1:5" ht="18" customHeight="1" x14ac:dyDescent="0.35">
      <c r="A33" s="12">
        <v>9</v>
      </c>
      <c r="B33" s="13" t="s">
        <v>227</v>
      </c>
      <c r="C33" s="3" t="s">
        <v>108</v>
      </c>
      <c r="D33" s="39" t="s">
        <v>228</v>
      </c>
      <c r="E33" s="39"/>
    </row>
    <row r="34" spans="1:5" ht="18" customHeight="1" x14ac:dyDescent="0.35">
      <c r="A34" s="14">
        <v>10</v>
      </c>
      <c r="B34" s="15" t="s">
        <v>229</v>
      </c>
      <c r="C34" s="2" t="s">
        <v>109</v>
      </c>
      <c r="D34" s="42" t="s">
        <v>230</v>
      </c>
      <c r="E34" s="42"/>
    </row>
    <row r="35" spans="1:5" ht="18" customHeight="1" x14ac:dyDescent="0.35">
      <c r="A35" s="12">
        <v>11</v>
      </c>
      <c r="B35" s="13" t="s">
        <v>231</v>
      </c>
      <c r="C35" s="3" t="s">
        <v>109</v>
      </c>
      <c r="D35" s="39" t="s">
        <v>232</v>
      </c>
      <c r="E35" s="39"/>
    </row>
    <row r="36" spans="1:5" ht="18" customHeight="1" x14ac:dyDescent="0.35">
      <c r="A36" s="14">
        <v>12</v>
      </c>
      <c r="B36" s="15" t="s">
        <v>233</v>
      </c>
      <c r="C36" s="2" t="s">
        <v>109</v>
      </c>
      <c r="D36" s="42" t="s">
        <v>234</v>
      </c>
      <c r="E36" s="42"/>
    </row>
    <row r="37" spans="1:5" ht="18" customHeight="1" x14ac:dyDescent="0.35">
      <c r="A37" s="12">
        <v>13</v>
      </c>
      <c r="B37" s="13" t="s">
        <v>235</v>
      </c>
      <c r="C37" s="3" t="s">
        <v>109</v>
      </c>
      <c r="D37" s="39" t="s">
        <v>236</v>
      </c>
      <c r="E37" s="39"/>
    </row>
  </sheetData>
  <mergeCells count="17">
    <mergeCell ref="A1:E1"/>
    <mergeCell ref="A2:E2"/>
    <mergeCell ref="A23:E23"/>
    <mergeCell ref="D24:E24"/>
    <mergeCell ref="D25:E25"/>
    <mergeCell ref="D26:E26"/>
    <mergeCell ref="D27:E27"/>
    <mergeCell ref="D28:E28"/>
    <mergeCell ref="D29:E29"/>
    <mergeCell ref="D30:E30"/>
    <mergeCell ref="D36:E36"/>
    <mergeCell ref="D37:E37"/>
    <mergeCell ref="D31:E31"/>
    <mergeCell ref="D32:E32"/>
    <mergeCell ref="D33:E33"/>
    <mergeCell ref="D34:E34"/>
    <mergeCell ref="D35:E35"/>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A9DB"/>
    <pageSetUpPr fitToPage="1"/>
  </sheetPr>
  <dimension ref="A1:E20"/>
  <sheetViews>
    <sheetView showGridLines="0" zoomScaleNormal="100" workbookViewId="0">
      <pane ySplit="4" topLeftCell="A15" activePane="bottomLeft" state="frozen"/>
      <selection pane="bottomLeft" activeCell="C18" sqref="C18"/>
    </sheetView>
  </sheetViews>
  <sheetFormatPr defaultColWidth="8.6328125" defaultRowHeight="14.5" x14ac:dyDescent="0.35"/>
  <cols>
    <col min="1" max="1" width="5" customWidth="1"/>
    <col min="2" max="2" width="34" customWidth="1"/>
    <col min="3" max="3" width="62" customWidth="1"/>
    <col min="4" max="4" width="40" customWidth="1"/>
    <col min="5" max="5" width="20" customWidth="1"/>
  </cols>
  <sheetData>
    <row r="1" spans="1:5" ht="33.75" customHeight="1" x14ac:dyDescent="0.35">
      <c r="A1" s="46" t="s">
        <v>237</v>
      </c>
      <c r="B1" s="46"/>
      <c r="C1" s="46"/>
      <c r="D1" s="46"/>
      <c r="E1" s="46"/>
    </row>
    <row r="2" spans="1:5" ht="19.5" customHeight="1" x14ac:dyDescent="0.35">
      <c r="A2" s="47"/>
      <c r="B2" s="47"/>
      <c r="C2" s="47"/>
      <c r="D2" s="47"/>
      <c r="E2" s="47"/>
    </row>
    <row r="4" spans="1:5" ht="24" customHeight="1" x14ac:dyDescent="0.35">
      <c r="A4" s="4" t="s">
        <v>26</v>
      </c>
      <c r="B4" s="4" t="s">
        <v>238</v>
      </c>
      <c r="C4" s="4" t="s">
        <v>239</v>
      </c>
      <c r="D4" s="4" t="s">
        <v>240</v>
      </c>
      <c r="E4" s="4" t="s">
        <v>241</v>
      </c>
    </row>
    <row r="5" spans="1:5" ht="31.5" customHeight="1" x14ac:dyDescent="0.35">
      <c r="A5" s="12">
        <v>1</v>
      </c>
      <c r="B5" s="13" t="s">
        <v>242</v>
      </c>
      <c r="C5" s="3" t="s">
        <v>243</v>
      </c>
      <c r="D5" s="3" t="s">
        <v>244</v>
      </c>
      <c r="E5" s="3" t="s">
        <v>125</v>
      </c>
    </row>
    <row r="6" spans="1:5" ht="31.5" customHeight="1" x14ac:dyDescent="0.35">
      <c r="A6" s="14">
        <v>2</v>
      </c>
      <c r="B6" s="15" t="s">
        <v>245</v>
      </c>
      <c r="C6" s="2" t="s">
        <v>246</v>
      </c>
      <c r="D6" s="2" t="s">
        <v>247</v>
      </c>
      <c r="E6" s="2" t="s">
        <v>130</v>
      </c>
    </row>
    <row r="7" spans="1:5" ht="45" customHeight="1" x14ac:dyDescent="0.35">
      <c r="A7" s="12">
        <v>3</v>
      </c>
      <c r="B7" s="13" t="s">
        <v>248</v>
      </c>
      <c r="C7" s="3" t="s">
        <v>249</v>
      </c>
      <c r="D7" s="3" t="s">
        <v>250</v>
      </c>
      <c r="E7" s="3" t="s">
        <v>132</v>
      </c>
    </row>
    <row r="8" spans="1:5" ht="31.5" customHeight="1" x14ac:dyDescent="0.35">
      <c r="A8" s="14">
        <v>4</v>
      </c>
      <c r="B8" s="15" t="s">
        <v>251</v>
      </c>
      <c r="C8" s="2" t="s">
        <v>252</v>
      </c>
      <c r="D8" s="2" t="s">
        <v>253</v>
      </c>
      <c r="E8" s="2" t="s">
        <v>148</v>
      </c>
    </row>
    <row r="9" spans="1:5" ht="45" customHeight="1" x14ac:dyDescent="0.35">
      <c r="A9" s="12">
        <v>5</v>
      </c>
      <c r="B9" s="13" t="s">
        <v>254</v>
      </c>
      <c r="C9" s="3" t="s">
        <v>255</v>
      </c>
      <c r="D9" s="3" t="s">
        <v>256</v>
      </c>
      <c r="E9" s="3" t="s">
        <v>136</v>
      </c>
    </row>
    <row r="10" spans="1:5" ht="31.5" customHeight="1" x14ac:dyDescent="0.35">
      <c r="A10" s="14">
        <v>6</v>
      </c>
      <c r="B10" s="15" t="s">
        <v>257</v>
      </c>
      <c r="C10" s="2" t="s">
        <v>258</v>
      </c>
      <c r="D10" s="2" t="s">
        <v>259</v>
      </c>
      <c r="E10" s="2" t="s">
        <v>140</v>
      </c>
    </row>
    <row r="11" spans="1:5" ht="31.5" customHeight="1" x14ac:dyDescent="0.35">
      <c r="A11" s="12">
        <v>7</v>
      </c>
      <c r="B11" s="13" t="s">
        <v>260</v>
      </c>
      <c r="C11" s="3" t="s">
        <v>261</v>
      </c>
      <c r="D11" s="3" t="s">
        <v>262</v>
      </c>
      <c r="E11" s="3" t="s">
        <v>142</v>
      </c>
    </row>
    <row r="12" spans="1:5" ht="31.5" customHeight="1" x14ac:dyDescent="0.35">
      <c r="A12" s="14">
        <v>8</v>
      </c>
      <c r="B12" s="15" t="s">
        <v>263</v>
      </c>
      <c r="C12" s="2" t="s">
        <v>264</v>
      </c>
      <c r="D12" s="2" t="s">
        <v>265</v>
      </c>
      <c r="E12" s="2" t="s">
        <v>142</v>
      </c>
    </row>
    <row r="13" spans="1:5" ht="31.5" customHeight="1" x14ac:dyDescent="0.35">
      <c r="A13" s="12">
        <v>9</v>
      </c>
      <c r="B13" s="13" t="s">
        <v>134</v>
      </c>
      <c r="C13" s="3" t="s">
        <v>266</v>
      </c>
      <c r="D13" s="3" t="s">
        <v>267</v>
      </c>
      <c r="E13" s="3" t="s">
        <v>134</v>
      </c>
    </row>
    <row r="14" spans="1:5" ht="31.5" customHeight="1" x14ac:dyDescent="0.35">
      <c r="A14" s="14">
        <v>10</v>
      </c>
      <c r="B14" s="15" t="s">
        <v>268</v>
      </c>
      <c r="C14" s="2" t="s">
        <v>269</v>
      </c>
      <c r="D14" s="2" t="s">
        <v>270</v>
      </c>
      <c r="E14" s="2" t="s">
        <v>144</v>
      </c>
    </row>
    <row r="15" spans="1:5" ht="31.5" customHeight="1" x14ac:dyDescent="0.35">
      <c r="A15" s="12">
        <v>11</v>
      </c>
      <c r="B15" s="13" t="s">
        <v>271</v>
      </c>
      <c r="C15" s="3" t="s">
        <v>272</v>
      </c>
      <c r="D15" s="3" t="s">
        <v>273</v>
      </c>
      <c r="E15" s="3" t="s">
        <v>144</v>
      </c>
    </row>
    <row r="16" spans="1:5" ht="31.5" customHeight="1" x14ac:dyDescent="0.35">
      <c r="A16" s="14">
        <v>12</v>
      </c>
      <c r="B16" s="15" t="s">
        <v>274</v>
      </c>
      <c r="C16" s="2" t="s">
        <v>275</v>
      </c>
      <c r="D16" s="2" t="s">
        <v>276</v>
      </c>
      <c r="E16" s="2" t="s">
        <v>146</v>
      </c>
    </row>
    <row r="17" spans="1:5" ht="31.5" customHeight="1" x14ac:dyDescent="0.35">
      <c r="A17" s="12">
        <v>13</v>
      </c>
      <c r="B17" s="13" t="s">
        <v>277</v>
      </c>
      <c r="C17" s="3" t="s">
        <v>278</v>
      </c>
      <c r="D17" s="3" t="s">
        <v>279</v>
      </c>
      <c r="E17" s="3" t="s">
        <v>146</v>
      </c>
    </row>
    <row r="18" spans="1:5" ht="31.5" customHeight="1" x14ac:dyDescent="0.35">
      <c r="A18" s="14">
        <v>14</v>
      </c>
      <c r="B18" s="15" t="s">
        <v>280</v>
      </c>
      <c r="C18" s="2" t="s">
        <v>281</v>
      </c>
      <c r="D18" s="2" t="s">
        <v>282</v>
      </c>
      <c r="E18" s="2" t="s">
        <v>138</v>
      </c>
    </row>
    <row r="19" spans="1:5" ht="58.5" customHeight="1" x14ac:dyDescent="0.35">
      <c r="A19" s="12">
        <v>15</v>
      </c>
      <c r="B19" s="13" t="s">
        <v>283</v>
      </c>
      <c r="C19" s="3" t="s">
        <v>284</v>
      </c>
      <c r="D19" s="3" t="s">
        <v>285</v>
      </c>
      <c r="E19" s="3" t="s">
        <v>148</v>
      </c>
    </row>
    <row r="20" spans="1:5" ht="31.5" customHeight="1" x14ac:dyDescent="0.35">
      <c r="A20" s="14">
        <v>16</v>
      </c>
      <c r="B20" s="15" t="s">
        <v>286</v>
      </c>
      <c r="C20" s="2" t="s">
        <v>287</v>
      </c>
      <c r="D20" s="2" t="s">
        <v>288</v>
      </c>
      <c r="E20" s="2" t="s">
        <v>128</v>
      </c>
    </row>
  </sheetData>
  <mergeCells count="2">
    <mergeCell ref="A1:E1"/>
    <mergeCell ref="A2:E2"/>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9DB"/>
    <pageSetUpPr fitToPage="1"/>
  </sheetPr>
  <dimension ref="A1:D17"/>
  <sheetViews>
    <sheetView showGridLines="0" topLeftCell="A7" zoomScaleNormal="100" workbookViewId="0">
      <selection sqref="A1:D1"/>
    </sheetView>
  </sheetViews>
  <sheetFormatPr defaultColWidth="8.6328125" defaultRowHeight="14.5" x14ac:dyDescent="0.35"/>
  <cols>
    <col min="1" max="1" width="5" customWidth="1"/>
    <col min="2" max="2" width="12" customWidth="1"/>
    <col min="3" max="3" width="58" customWidth="1"/>
    <col min="4" max="4" width="44" customWidth="1"/>
  </cols>
  <sheetData>
    <row r="1" spans="1:4" ht="33.75" customHeight="1" x14ac:dyDescent="0.35">
      <c r="A1" s="46" t="s">
        <v>58</v>
      </c>
      <c r="B1" s="46"/>
      <c r="C1" s="46"/>
      <c r="D1" s="46"/>
    </row>
    <row r="2" spans="1:4" ht="19.5" customHeight="1" x14ac:dyDescent="0.35">
      <c r="A2" s="47" t="s">
        <v>59</v>
      </c>
      <c r="B2" s="47"/>
      <c r="C2" s="47"/>
      <c r="D2" s="47"/>
    </row>
    <row r="4" spans="1:4" ht="24" customHeight="1" x14ac:dyDescent="0.35">
      <c r="A4" s="4" t="s">
        <v>26</v>
      </c>
      <c r="B4" s="4" t="s">
        <v>289</v>
      </c>
      <c r="C4" s="4" t="s">
        <v>290</v>
      </c>
      <c r="D4" s="4" t="s">
        <v>291</v>
      </c>
    </row>
    <row r="5" spans="1:4" ht="31.5" customHeight="1" x14ac:dyDescent="0.35">
      <c r="A5" s="12">
        <v>1</v>
      </c>
      <c r="B5" s="33" t="s">
        <v>292</v>
      </c>
      <c r="C5" s="3" t="s">
        <v>293</v>
      </c>
      <c r="D5" s="3" t="s">
        <v>294</v>
      </c>
    </row>
    <row r="6" spans="1:4" ht="31.5" customHeight="1" x14ac:dyDescent="0.35">
      <c r="A6" s="14">
        <v>2</v>
      </c>
      <c r="B6" s="33" t="s">
        <v>292</v>
      </c>
      <c r="C6" s="2" t="s">
        <v>295</v>
      </c>
      <c r="D6" s="2" t="s">
        <v>296</v>
      </c>
    </row>
    <row r="7" spans="1:4" ht="31.5" customHeight="1" x14ac:dyDescent="0.35">
      <c r="A7" s="12">
        <v>3</v>
      </c>
      <c r="B7" s="34" t="s">
        <v>297</v>
      </c>
      <c r="C7" s="3" t="s">
        <v>298</v>
      </c>
      <c r="D7" s="3" t="s">
        <v>299</v>
      </c>
    </row>
    <row r="8" spans="1:4" ht="31.5" customHeight="1" x14ac:dyDescent="0.35">
      <c r="A8" s="14">
        <v>4</v>
      </c>
      <c r="B8" s="34" t="s">
        <v>297</v>
      </c>
      <c r="C8" s="2" t="s">
        <v>300</v>
      </c>
      <c r="D8" s="2" t="s">
        <v>301</v>
      </c>
    </row>
    <row r="9" spans="1:4" ht="31.5" customHeight="1" x14ac:dyDescent="0.35">
      <c r="A9" s="12">
        <v>5</v>
      </c>
      <c r="B9" s="35" t="s">
        <v>302</v>
      </c>
      <c r="C9" s="3" t="s">
        <v>303</v>
      </c>
      <c r="D9" s="3" t="s">
        <v>304</v>
      </c>
    </row>
    <row r="10" spans="1:4" ht="31.5" customHeight="1" x14ac:dyDescent="0.35">
      <c r="A10" s="14">
        <v>6</v>
      </c>
      <c r="B10" s="35" t="s">
        <v>302</v>
      </c>
      <c r="C10" s="2" t="s">
        <v>305</v>
      </c>
      <c r="D10" s="2" t="s">
        <v>306</v>
      </c>
    </row>
    <row r="12" spans="1:4" ht="21.75" customHeight="1" x14ac:dyDescent="0.35">
      <c r="A12" s="40" t="s">
        <v>307</v>
      </c>
      <c r="B12" s="40"/>
      <c r="C12" s="40"/>
      <c r="D12" s="40"/>
    </row>
    <row r="13" spans="1:4" ht="18" customHeight="1" x14ac:dyDescent="0.35">
      <c r="A13" s="45" t="s">
        <v>308</v>
      </c>
      <c r="B13" s="45"/>
      <c r="C13" s="45"/>
      <c r="D13" s="45"/>
    </row>
    <row r="14" spans="1:4" ht="31.5" customHeight="1" x14ac:dyDescent="0.35">
      <c r="A14" s="45" t="s">
        <v>309</v>
      </c>
      <c r="B14" s="45"/>
      <c r="C14" s="45"/>
      <c r="D14" s="45"/>
    </row>
    <row r="15" spans="1:4" ht="18" customHeight="1" x14ac:dyDescent="0.35">
      <c r="A15" s="45" t="s">
        <v>310</v>
      </c>
      <c r="B15" s="45"/>
      <c r="C15" s="45"/>
      <c r="D15" s="45"/>
    </row>
    <row r="16" spans="1:4" ht="18" customHeight="1" x14ac:dyDescent="0.35">
      <c r="A16" s="45" t="s">
        <v>311</v>
      </c>
      <c r="B16" s="45"/>
      <c r="C16" s="45"/>
      <c r="D16" s="45"/>
    </row>
    <row r="17" spans="1:4" ht="31.5" customHeight="1" x14ac:dyDescent="0.35">
      <c r="A17" s="45" t="s">
        <v>312</v>
      </c>
      <c r="B17" s="45"/>
      <c r="C17" s="45"/>
      <c r="D17" s="45"/>
    </row>
  </sheetData>
  <mergeCells count="8">
    <mergeCell ref="A15:D15"/>
    <mergeCell ref="A16:D16"/>
    <mergeCell ref="A17:D17"/>
    <mergeCell ref="A1:D1"/>
    <mergeCell ref="A2:D2"/>
    <mergeCell ref="A12:D12"/>
    <mergeCell ref="A13:D13"/>
    <mergeCell ref="A14:D14"/>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pageSetUpPr fitToPage="1"/>
  </sheetPr>
  <dimension ref="A1:D14"/>
  <sheetViews>
    <sheetView showGridLines="0" tabSelected="1" zoomScaleNormal="100" workbookViewId="0">
      <pane ySplit="4" topLeftCell="A5" activePane="bottomLeft" state="frozen"/>
      <selection pane="bottomLeft" activeCell="D12" sqref="D12"/>
    </sheetView>
  </sheetViews>
  <sheetFormatPr defaultColWidth="8.6328125" defaultRowHeight="14.5" x14ac:dyDescent="0.35"/>
  <cols>
    <col min="1" max="1" width="5" customWidth="1"/>
    <col min="2" max="2" width="32" customWidth="1"/>
    <col min="3" max="3" width="74" customWidth="1"/>
    <col min="4" max="4" width="26" customWidth="1"/>
  </cols>
  <sheetData>
    <row r="1" spans="1:4" ht="33.75" customHeight="1" x14ac:dyDescent="0.35">
      <c r="A1" s="46" t="s">
        <v>313</v>
      </c>
      <c r="B1" s="46"/>
      <c r="C1" s="46"/>
      <c r="D1" s="46"/>
    </row>
    <row r="2" spans="1:4" ht="19.5" customHeight="1" x14ac:dyDescent="0.35">
      <c r="A2" s="47"/>
      <c r="B2" s="47"/>
      <c r="C2" s="47"/>
      <c r="D2" s="47"/>
    </row>
    <row r="4" spans="1:4" ht="24" customHeight="1" x14ac:dyDescent="0.35">
      <c r="A4" s="4" t="s">
        <v>26</v>
      </c>
      <c r="B4" s="4" t="s">
        <v>314</v>
      </c>
      <c r="C4" s="4" t="s">
        <v>315</v>
      </c>
      <c r="D4" s="4" t="s">
        <v>316</v>
      </c>
    </row>
    <row r="5" spans="1:4" ht="31.5" customHeight="1" x14ac:dyDescent="0.35">
      <c r="A5" s="12">
        <v>1</v>
      </c>
      <c r="B5" s="13" t="s">
        <v>317</v>
      </c>
      <c r="C5" s="3" t="s">
        <v>318</v>
      </c>
      <c r="D5" s="36" t="s">
        <v>319</v>
      </c>
    </row>
    <row r="6" spans="1:4" ht="58.5" customHeight="1" x14ac:dyDescent="0.35">
      <c r="A6" s="14">
        <v>2</v>
      </c>
      <c r="B6" s="15" t="s">
        <v>320</v>
      </c>
      <c r="C6" s="2" t="s">
        <v>321</v>
      </c>
      <c r="D6" s="34" t="s">
        <v>322</v>
      </c>
    </row>
    <row r="7" spans="1:4" ht="45" customHeight="1" x14ac:dyDescent="0.35">
      <c r="A7" s="12">
        <v>3</v>
      </c>
      <c r="B7" s="13" t="s">
        <v>323</v>
      </c>
      <c r="C7" s="3" t="s">
        <v>324</v>
      </c>
      <c r="D7" s="34" t="s">
        <v>322</v>
      </c>
    </row>
    <row r="8" spans="1:4" ht="45" customHeight="1" x14ac:dyDescent="0.35">
      <c r="A8" s="14">
        <v>4</v>
      </c>
      <c r="B8" s="15" t="s">
        <v>325</v>
      </c>
      <c r="C8" s="2" t="s">
        <v>326</v>
      </c>
      <c r="D8" s="34" t="s">
        <v>322</v>
      </c>
    </row>
    <row r="9" spans="1:4" ht="58.5" customHeight="1" x14ac:dyDescent="0.35">
      <c r="A9" s="12">
        <v>5</v>
      </c>
      <c r="B9" s="13" t="s">
        <v>327</v>
      </c>
      <c r="C9" s="3" t="s">
        <v>328</v>
      </c>
      <c r="D9" s="33" t="s">
        <v>329</v>
      </c>
    </row>
    <row r="10" spans="1:4" ht="31.5" customHeight="1" x14ac:dyDescent="0.35">
      <c r="A10" s="14">
        <v>6</v>
      </c>
      <c r="B10" s="15" t="s">
        <v>330</v>
      </c>
      <c r="C10" s="2" t="s">
        <v>331</v>
      </c>
      <c r="D10" s="34" t="s">
        <v>322</v>
      </c>
    </row>
    <row r="11" spans="1:4" ht="31.5" customHeight="1" x14ac:dyDescent="0.35">
      <c r="A11" s="12">
        <v>7</v>
      </c>
      <c r="B11" s="13" t="s">
        <v>332</v>
      </c>
      <c r="C11" s="3" t="s">
        <v>333</v>
      </c>
      <c r="D11" s="36" t="s">
        <v>319</v>
      </c>
    </row>
    <row r="12" spans="1:4" ht="31.5" customHeight="1" x14ac:dyDescent="0.35">
      <c r="A12" s="14">
        <v>8</v>
      </c>
      <c r="B12" s="15" t="s">
        <v>339</v>
      </c>
      <c r="C12" s="2" t="s">
        <v>340</v>
      </c>
      <c r="D12" s="35" t="s">
        <v>341</v>
      </c>
    </row>
    <row r="13" spans="1:4" ht="31.5" customHeight="1" x14ac:dyDescent="0.35">
      <c r="A13" s="12">
        <v>9</v>
      </c>
      <c r="B13" s="13" t="s">
        <v>334</v>
      </c>
      <c r="C13" s="3" t="s">
        <v>335</v>
      </c>
      <c r="D13" s="33" t="s">
        <v>329</v>
      </c>
    </row>
    <row r="14" spans="1:4" ht="45" customHeight="1" x14ac:dyDescent="0.35">
      <c r="A14" s="14">
        <v>10</v>
      </c>
      <c r="B14" s="15" t="s">
        <v>336</v>
      </c>
      <c r="C14" s="2" t="s">
        <v>337</v>
      </c>
      <c r="D14" s="33" t="s">
        <v>329</v>
      </c>
    </row>
  </sheetData>
  <mergeCells count="2">
    <mergeCell ref="A1:D1"/>
    <mergeCell ref="A2:D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Trends &amp; Rankings</vt:lpstr>
      <vt:lpstr>Workbook Map</vt:lpstr>
      <vt:lpstr>Data Dictionary</vt:lpstr>
      <vt:lpstr>Q&amp;A</vt:lpstr>
      <vt:lpstr>Recommendations</vt:lpstr>
      <vt:lpstr>Data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Heena Sharma</cp:lastModifiedBy>
  <cp:revision>1</cp:revision>
  <dcterms:created xsi:type="dcterms:W3CDTF">2026-09-29T11:13:37Z</dcterms:created>
  <dcterms:modified xsi:type="dcterms:W3CDTF">2026-10-13T09:55:37Z</dcterms:modified>
  <dc:language>en-US</dc:language>
</cp:coreProperties>
</file>